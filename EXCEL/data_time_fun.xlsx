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B91AB334-B609-4245-A2EB-893A99408E52}" xr6:coauthVersionLast="47" xr6:coauthVersionMax="47" xr10:uidLastSave="{00000000-0000-0000-0000-000000000000}"/>
  <bookViews>
    <workbookView xWindow="-108" yWindow="-108" windowWidth="23256" windowHeight="12456" firstSheet="5" activeTab="6" xr2:uid="{66639DBD-6F91-49AB-89B8-24ACCA73BBA9}"/>
  </bookViews>
  <sheets>
    <sheet name="date_time" sheetId="1" r:id="rId1"/>
    <sheet name="data_transform" sheetId="2" r:id="rId2"/>
    <sheet name="what_if" sheetId="3" r:id="rId3"/>
    <sheet name="goal_seek" sheetId="4" r:id="rId4"/>
    <sheet name="Scenario Summary" sheetId="6" r:id="rId5"/>
    <sheet name="scenario_manager" sheetId="5" r:id="rId6"/>
    <sheet name="data_tab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ndings - Detailed View_842afe35-658b-44f6-b4db-d78981093180" name="Standings - Detailed View" connection="Query - Standings - Detailed View"/>
          <x15:modelTable id="Standings - Detailed View  2_ceb93462-f771-43b0-b19d-bad7712d121e" name="Standings - Detailed View  2" connection="Query - Standings - Detailed View (2)"/>
        </x15:modelTables>
      </x15:dataModel>
    </ext>
  </extLst>
</workbook>
</file>

<file path=xl/calcChain.xml><?xml version="1.0" encoding="utf-8"?>
<calcChain xmlns="http://schemas.openxmlformats.org/spreadsheetml/2006/main">
  <c r="E8" i="7" l="1"/>
  <c r="A18" i="7"/>
  <c r="B4" i="7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2" i="4"/>
  <c r="C2" i="4" s="1"/>
  <c r="B6" i="3"/>
  <c r="B27" i="1"/>
  <c r="I22" i="1"/>
  <c r="I21" i="1"/>
  <c r="I20" i="1"/>
  <c r="D21" i="1"/>
  <c r="E21" i="1" s="1"/>
  <c r="E20" i="1"/>
  <c r="E13" i="1"/>
  <c r="E14" i="1"/>
  <c r="E15" i="1"/>
  <c r="E16" i="1"/>
  <c r="E17" i="1"/>
  <c r="D13" i="1"/>
  <c r="D14" i="1"/>
  <c r="D15" i="1"/>
  <c r="D16" i="1"/>
  <c r="D17" i="1"/>
  <c r="E12" i="1"/>
  <c r="D12" i="1"/>
  <c r="C13" i="1"/>
  <c r="C14" i="1"/>
  <c r="C15" i="1"/>
  <c r="C16" i="1"/>
  <c r="C17" i="1"/>
  <c r="C12" i="1"/>
  <c r="B8" i="1"/>
  <c r="B9" i="1" s="1"/>
  <c r="A4" i="1"/>
  <c r="C4" i="1" s="1"/>
  <c r="A3" i="1"/>
  <c r="A2" i="1"/>
  <c r="A1" i="1"/>
  <c r="D1" i="1" s="1"/>
  <c r="C11" i="4" l="1"/>
  <c r="C27" i="1"/>
  <c r="E22" i="1"/>
  <c r="E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BEDC4F-F411-46B8-B5D1-012F7039C96E}" name="Query - Standings - Detailed View" description="Connection to the 'Standings - Detailed View' query in the workbook." type="100" refreshedVersion="8" minRefreshableVersion="5">
    <extLst>
      <ext xmlns:x15="http://schemas.microsoft.com/office/spreadsheetml/2010/11/main" uri="{DE250136-89BD-433C-8126-D09CA5730AF9}">
        <x15:connection id="5b83b5b3-2530-4b49-a6aa-f3d75d2a6e32"/>
      </ext>
    </extLst>
  </connection>
  <connection id="2" xr16:uid="{F30CE1BA-539E-4A24-8660-52B6AA2E8520}" name="Query - Standings - Detailed View (2)" description="Connection to the 'Standings - Detailed View (2)' query in the workbook." type="100" refreshedVersion="8" minRefreshableVersion="5">
    <extLst>
      <ext xmlns:x15="http://schemas.microsoft.com/office/spreadsheetml/2010/11/main" uri="{DE250136-89BD-433C-8126-D09CA5730AF9}">
        <x15:connection id="8a915159-518a-4469-9c61-3aac3f07a948"/>
      </ext>
    </extLst>
  </connection>
  <connection id="3" xr16:uid="{914B8352-5395-4AC3-A4BF-1A6FD3A83B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<sst xmlns="http://schemas.openxmlformats.org/spreadsheetml/2006/main" count="53" uniqueCount="50">
  <si>
    <t>current date</t>
  </si>
  <si>
    <t>current time</t>
  </si>
  <si>
    <t>date num format</t>
  </si>
  <si>
    <t>formatted time</t>
  </si>
  <si>
    <t>invoice date</t>
  </si>
  <si>
    <t>due date</t>
  </si>
  <si>
    <t>to extract only year</t>
  </si>
  <si>
    <t>weekday</t>
  </si>
  <si>
    <t>what will be the date after 30 working days</t>
  </si>
  <si>
    <t>holidays</t>
  </si>
  <si>
    <t>increment</t>
  </si>
  <si>
    <t>Loan Payment</t>
  </si>
  <si>
    <t>Rate</t>
  </si>
  <si>
    <t>Term(Months)</t>
  </si>
  <si>
    <t>Loan Amount</t>
  </si>
  <si>
    <t>Payment</t>
  </si>
  <si>
    <t>Salary</t>
  </si>
  <si>
    <t>Hike</t>
  </si>
  <si>
    <t>New Salary</t>
  </si>
  <si>
    <t>Budget</t>
  </si>
  <si>
    <t>Increase %</t>
  </si>
  <si>
    <t>Monthly Sales</t>
  </si>
  <si>
    <t>Monthly Costs</t>
  </si>
  <si>
    <t>Marketing</t>
  </si>
  <si>
    <t>Salaries</t>
  </si>
  <si>
    <t>Office Rent</t>
  </si>
  <si>
    <t>Miscellaneous</t>
  </si>
  <si>
    <t>Total Costs</t>
  </si>
  <si>
    <t>Profit</t>
  </si>
  <si>
    <t>$B$4</t>
  </si>
  <si>
    <t>$B$5</t>
  </si>
  <si>
    <t>$B$6</t>
  </si>
  <si>
    <t>$B$7</t>
  </si>
  <si>
    <t>$B$1</t>
  </si>
  <si>
    <t>$D$1</t>
  </si>
  <si>
    <t>original_scenario</t>
  </si>
  <si>
    <t>Created by Karthick TR on 25-01-2026</t>
  </si>
  <si>
    <t>high_scenario</t>
  </si>
  <si>
    <t>low_scenario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</si>
  <si>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</si>
  <si>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</si>
  <si>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</si>
  <si>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</si>
  <si>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</si>
  <si>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</si>
  <si>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</si>
  <si>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Interest Rate (yearly)</t>
  </si>
  <si>
    <t>Term (months)</t>
  </si>
  <si>
    <t>Montly Payment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</si>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</sst>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&quot;₹&quot;\ #,##0.00"/>
    <numFmt numFmtId="165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21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9" fontId="0" fillId="0" borderId="0" xfId="0" applyNumberFormat="1"/>
    <xf numFmtId="165" fontId="1" fillId="0" borderId="0" xfId="0" applyNumberFormat="1" applyFont="1"/>
    <xf numFmtId="0" fontId="1" fillId="0" borderId="0" xfId="0" applyFon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164" fontId="0" fillId="4" borderId="0" xfId="0" applyNumberFormat="1" applyFill="1"/>
    <xf numFmtId="0" fontId="6" fillId="0" borderId="0" xfId="0" applyFont="1" applyAlignment="1">
      <alignment vertical="top" wrapText="1"/>
    </xf>
    <xf numFmtId="0" fontId="0" fillId="0" borderId="0" xfId="0" applyAlignment="1">
      <alignment horizontal="center"/>
    </xf>
    <xf numFmtId="8" fontId="0" fillId="0" borderId="5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10" fontId="0" fillId="0" borderId="6" xfId="0" applyNumberFormat="1" applyBorder="1"/>
    <xf numFmtId="164" fontId="0" fillId="0" borderId="7" xfId="0" applyNumberFormat="1" applyBorder="1"/>
    <xf numFmtId="164" fontId="0" fillId="0" borderId="0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73FC-7EB9-4F27-8184-A3C2106AA7EE}">
  <dimension ref="A1:J27"/>
  <sheetViews>
    <sheetView workbookViewId="0">
      <selection activeCell="C28" sqref="C28"/>
    </sheetView>
  </sheetViews>
  <sheetFormatPr defaultRowHeight="14.4" x14ac:dyDescent="0.3"/>
  <cols>
    <col min="1" max="1" width="17" bestFit="1" customWidth="1"/>
    <col min="2" max="2" width="14.88671875" bestFit="1" customWidth="1"/>
    <col min="4" max="5" width="10.33203125" bestFit="1" customWidth="1"/>
    <col min="8" max="10" width="10.33203125" bestFit="1" customWidth="1"/>
  </cols>
  <sheetData>
    <row r="1" spans="1:5" x14ac:dyDescent="0.3">
      <c r="A1" s="1">
        <f ca="1">TODAY()</f>
        <v>46047</v>
      </c>
      <c r="B1" t="s">
        <v>0</v>
      </c>
      <c r="C1" t="s">
        <v>7</v>
      </c>
      <c r="D1">
        <f ca="1">WEEKDAY(A1)</f>
        <v>1</v>
      </c>
    </row>
    <row r="2" spans="1:5" x14ac:dyDescent="0.3">
      <c r="A2" s="2">
        <f ca="1">NOW()</f>
        <v>46047.607723726855</v>
      </c>
      <c r="B2" t="s">
        <v>1</v>
      </c>
    </row>
    <row r="3" spans="1:5" x14ac:dyDescent="0.3">
      <c r="A3" s="3">
        <f ca="1">TODAY()</f>
        <v>46047</v>
      </c>
      <c r="B3" t="s">
        <v>2</v>
      </c>
    </row>
    <row r="4" spans="1:5" x14ac:dyDescent="0.3">
      <c r="A4" s="4">
        <f ca="1">NOW()</f>
        <v>46047.607723726855</v>
      </c>
      <c r="B4" t="s">
        <v>3</v>
      </c>
      <c r="C4">
        <f ca="1">HOUR(A4)</f>
        <v>14</v>
      </c>
      <c r="D4">
        <f ca="1">MINUTE(A4)</f>
        <v>35</v>
      </c>
      <c r="E4">
        <f ca="1">SECOND(A4)</f>
        <v>7</v>
      </c>
    </row>
    <row r="8" spans="1:5" x14ac:dyDescent="0.3">
      <c r="A8" t="s">
        <v>4</v>
      </c>
      <c r="B8" s="1">
        <f ca="1">TODAY()</f>
        <v>46047</v>
      </c>
    </row>
    <row r="9" spans="1:5" x14ac:dyDescent="0.3">
      <c r="A9" t="s">
        <v>5</v>
      </c>
      <c r="B9" s="1">
        <f ca="1">B8+30</f>
        <v>46077</v>
      </c>
    </row>
    <row r="12" spans="1:5" x14ac:dyDescent="0.3">
      <c r="A12" t="s">
        <v>6</v>
      </c>
      <c r="B12" s="1">
        <v>45595</v>
      </c>
      <c r="C12">
        <f t="shared" ref="C12:C17" si="0">YEAR(B12)</f>
        <v>2024</v>
      </c>
      <c r="D12">
        <f t="shared" ref="D12:D17" si="1">MONTH(B12)</f>
        <v>10</v>
      </c>
      <c r="E12">
        <f t="shared" ref="E12:E17" si="2">DAY(B12)</f>
        <v>30</v>
      </c>
    </row>
    <row r="13" spans="1:5" x14ac:dyDescent="0.3">
      <c r="B13" s="1">
        <v>45626</v>
      </c>
      <c r="C13">
        <f t="shared" si="0"/>
        <v>2024</v>
      </c>
      <c r="D13">
        <f t="shared" si="1"/>
        <v>11</v>
      </c>
      <c r="E13">
        <f t="shared" si="2"/>
        <v>30</v>
      </c>
    </row>
    <row r="14" spans="1:5" x14ac:dyDescent="0.3">
      <c r="B14" s="1">
        <v>45656</v>
      </c>
      <c r="C14">
        <f t="shared" si="0"/>
        <v>2024</v>
      </c>
      <c r="D14">
        <f t="shared" si="1"/>
        <v>12</v>
      </c>
      <c r="E14">
        <f t="shared" si="2"/>
        <v>30</v>
      </c>
    </row>
    <row r="15" spans="1:5" x14ac:dyDescent="0.3">
      <c r="B15" s="1">
        <v>45687</v>
      </c>
      <c r="C15">
        <f t="shared" si="0"/>
        <v>2025</v>
      </c>
      <c r="D15">
        <f t="shared" si="1"/>
        <v>1</v>
      </c>
      <c r="E15">
        <f t="shared" si="2"/>
        <v>30</v>
      </c>
    </row>
    <row r="16" spans="1:5" x14ac:dyDescent="0.3">
      <c r="B16" s="1">
        <v>45716</v>
      </c>
      <c r="C16">
        <f t="shared" si="0"/>
        <v>2025</v>
      </c>
      <c r="D16">
        <f t="shared" si="1"/>
        <v>2</v>
      </c>
      <c r="E16">
        <f t="shared" si="2"/>
        <v>28</v>
      </c>
    </row>
    <row r="17" spans="1:10" x14ac:dyDescent="0.3">
      <c r="B17" s="1">
        <v>45746</v>
      </c>
      <c r="C17">
        <f t="shared" si="0"/>
        <v>2025</v>
      </c>
      <c r="D17">
        <f t="shared" si="1"/>
        <v>3</v>
      </c>
      <c r="E17">
        <f t="shared" si="2"/>
        <v>30</v>
      </c>
    </row>
    <row r="20" spans="1:10" x14ac:dyDescent="0.3">
      <c r="A20" s="23" t="s">
        <v>8</v>
      </c>
      <c r="B20" s="23"/>
      <c r="C20" s="23"/>
      <c r="D20" s="1">
        <v>45315</v>
      </c>
      <c r="E20" s="1">
        <f>WORKDAY(D20,30)</f>
        <v>45357</v>
      </c>
      <c r="H20" s="1">
        <v>45227</v>
      </c>
      <c r="I20" s="1">
        <f>WORKDAY(H20,30)</f>
        <v>45268</v>
      </c>
      <c r="J20" s="1">
        <v>45238</v>
      </c>
    </row>
    <row r="21" spans="1:10" x14ac:dyDescent="0.3">
      <c r="D21" s="1">
        <f ca="1">TODAY()</f>
        <v>46047</v>
      </c>
      <c r="E21" s="1">
        <f ca="1">WORKDAY(D21,30)</f>
        <v>46087</v>
      </c>
      <c r="I21" s="1">
        <f>WORKDAY(H20,30,J20:J21)</f>
        <v>45272</v>
      </c>
      <c r="J21" s="1">
        <v>45239</v>
      </c>
    </row>
    <row r="22" spans="1:10" x14ac:dyDescent="0.3">
      <c r="A22" t="s">
        <v>9</v>
      </c>
      <c r="B22" s="1">
        <v>46061</v>
      </c>
      <c r="E22" s="1">
        <f ca="1">WORKDAY(D21,30,B22:B24)</f>
        <v>46087</v>
      </c>
      <c r="I22" s="1">
        <f>WORKDAY(H20,-30,J20:J21)</f>
        <v>45187</v>
      </c>
    </row>
    <row r="23" spans="1:10" x14ac:dyDescent="0.3">
      <c r="B23" s="1">
        <v>46067</v>
      </c>
    </row>
    <row r="24" spans="1:10" x14ac:dyDescent="0.3">
      <c r="B24" s="1">
        <v>46068</v>
      </c>
    </row>
    <row r="27" spans="1:10" x14ac:dyDescent="0.3">
      <c r="A27" t="s">
        <v>10</v>
      </c>
      <c r="B27" s="1">
        <f>B22+DATE(0,3,0)</f>
        <v>46121</v>
      </c>
      <c r="C27" s="4">
        <f ca="1">A4+TIME(2,20,0)</f>
        <v>46047.704945949074</v>
      </c>
    </row>
  </sheetData>
  <mergeCells count="1"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304C-F098-4B10-BBCB-2D6193C44964}">
  <dimension ref="A1"/>
  <sheetViews>
    <sheetView workbookViewId="0">
      <selection activeCell="P10" sqref="P1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6C57-5926-4597-96A4-EB4131FE6844}">
  <dimension ref="A1:B6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0.44140625" bestFit="1" customWidth="1"/>
  </cols>
  <sheetData>
    <row r="1" spans="1:2" x14ac:dyDescent="0.3">
      <c r="A1" s="23" t="s">
        <v>11</v>
      </c>
      <c r="B1" s="23"/>
    </row>
    <row r="3" spans="1:2" x14ac:dyDescent="0.3">
      <c r="A3" t="s">
        <v>12</v>
      </c>
      <c r="B3" s="5">
        <v>3.5000000000000003E-2</v>
      </c>
    </row>
    <row r="4" spans="1:2" x14ac:dyDescent="0.3">
      <c r="A4" t="s">
        <v>13</v>
      </c>
      <c r="B4">
        <v>60</v>
      </c>
    </row>
    <row r="5" spans="1:2" x14ac:dyDescent="0.3">
      <c r="A5" t="s">
        <v>14</v>
      </c>
      <c r="B5" s="7">
        <v>-32981.992710485065</v>
      </c>
    </row>
    <row r="6" spans="1:2" x14ac:dyDescent="0.3">
      <c r="A6" t="s">
        <v>15</v>
      </c>
      <c r="B6" s="8">
        <f>PMT(B3/12,B4,B5)</f>
        <v>599.99999999999989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532E-4B3A-43AE-B9B6-F2B80A6C4793}">
  <dimension ref="A1:G11"/>
  <sheetViews>
    <sheetView workbookViewId="0">
      <selection activeCell="C11" sqref="C11"/>
    </sheetView>
  </sheetViews>
  <sheetFormatPr defaultRowHeight="14.4" x14ac:dyDescent="0.3"/>
  <cols>
    <col min="1" max="1" width="10.44140625" bestFit="1" customWidth="1"/>
    <col min="3" max="3" width="10.109375" bestFit="1" customWidth="1"/>
    <col min="6" max="6" width="9.77734375" bestFit="1" customWidth="1"/>
    <col min="7" max="7" width="11.88671875" bestFit="1" customWidth="1"/>
  </cols>
  <sheetData>
    <row r="1" spans="1:7" x14ac:dyDescent="0.3">
      <c r="A1" s="10" t="s">
        <v>16</v>
      </c>
      <c r="B1" s="11" t="s">
        <v>17</v>
      </c>
      <c r="C1" s="11" t="s">
        <v>18</v>
      </c>
      <c r="F1" t="s">
        <v>19</v>
      </c>
      <c r="G1" s="7">
        <v>500000</v>
      </c>
    </row>
    <row r="2" spans="1:7" x14ac:dyDescent="0.3">
      <c r="A2" s="7">
        <v>29560</v>
      </c>
      <c r="B2" s="7">
        <f>A2*$G$2</f>
        <v>5912</v>
      </c>
      <c r="C2" s="7">
        <f>A2+B2</f>
        <v>35472</v>
      </c>
      <c r="F2" t="s">
        <v>20</v>
      </c>
      <c r="G2" s="9">
        <v>0.2</v>
      </c>
    </row>
    <row r="3" spans="1:7" x14ac:dyDescent="0.3">
      <c r="A3" s="7">
        <v>49000</v>
      </c>
      <c r="B3" s="7">
        <f t="shared" ref="B3:B10" si="0">A3*$G$2</f>
        <v>9800</v>
      </c>
      <c r="C3" s="7">
        <f t="shared" ref="C3:C10" si="1">A3+B3</f>
        <v>58800</v>
      </c>
    </row>
    <row r="4" spans="1:7" x14ac:dyDescent="0.3">
      <c r="A4" s="7">
        <v>49560</v>
      </c>
      <c r="B4" s="7">
        <f t="shared" si="0"/>
        <v>9912</v>
      </c>
      <c r="C4" s="7">
        <f t="shared" si="1"/>
        <v>59472</v>
      </c>
    </row>
    <row r="5" spans="1:7" x14ac:dyDescent="0.3">
      <c r="A5" s="7">
        <v>34840</v>
      </c>
      <c r="B5" s="7">
        <f t="shared" si="0"/>
        <v>6968</v>
      </c>
      <c r="C5" s="7">
        <f t="shared" si="1"/>
        <v>41808</v>
      </c>
    </row>
    <row r="6" spans="1:7" x14ac:dyDescent="0.3">
      <c r="A6" s="7">
        <v>29000</v>
      </c>
      <c r="B6" s="7">
        <f t="shared" si="0"/>
        <v>5800</v>
      </c>
      <c r="C6" s="7">
        <f t="shared" si="1"/>
        <v>34800</v>
      </c>
    </row>
    <row r="7" spans="1:7" x14ac:dyDescent="0.3">
      <c r="A7" s="7">
        <v>64500</v>
      </c>
      <c r="B7" s="7">
        <f t="shared" si="0"/>
        <v>12900</v>
      </c>
      <c r="C7" s="7">
        <f t="shared" si="1"/>
        <v>77400</v>
      </c>
    </row>
    <row r="8" spans="1:7" x14ac:dyDescent="0.3">
      <c r="A8" s="7">
        <v>79730</v>
      </c>
      <c r="B8" s="7">
        <f t="shared" si="0"/>
        <v>15946</v>
      </c>
      <c r="C8" s="7">
        <f t="shared" si="1"/>
        <v>95676</v>
      </c>
    </row>
    <row r="9" spans="1:7" x14ac:dyDescent="0.3">
      <c r="A9" s="7">
        <v>89500</v>
      </c>
      <c r="B9" s="7">
        <f t="shared" si="0"/>
        <v>17900</v>
      </c>
      <c r="C9" s="7">
        <f t="shared" si="1"/>
        <v>107400</v>
      </c>
    </row>
    <row r="10" spans="1:7" x14ac:dyDescent="0.3">
      <c r="A10" s="7">
        <v>78045</v>
      </c>
      <c r="B10" s="7">
        <f t="shared" si="0"/>
        <v>15609</v>
      </c>
      <c r="C10" s="7">
        <f t="shared" si="1"/>
        <v>93654</v>
      </c>
    </row>
    <row r="11" spans="1:7" x14ac:dyDescent="0.3">
      <c r="C11" s="7">
        <f>SUM(C2:C10)</f>
        <v>604482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8095-8331-4F56-BACA-1E8E9E923197}">
  <sheetPr>
    <outlinePr summaryBelow="0"/>
  </sheetPr>
  <dimension ref="B1:G15"/>
  <sheetViews>
    <sheetView showGridLines="0" workbookViewId="0"/>
  </sheetViews>
  <sheetFormatPr defaultRowHeight="14.4" outlineLevelRow="1" outlineLevelCol="1" x14ac:dyDescent="0.3"/>
  <cols>
    <col min="3" max="3" width="5.21875" bestFit="1" customWidth="1"/>
    <col min="4" max="7" width="14.21875" bestFit="1" customWidth="1" outlineLevel="1"/>
  </cols>
  <sheetData>
    <row r="1" spans="2:7" ht="15" thickBot="1" x14ac:dyDescent="0.35"/>
    <row r="2" spans="2:7" ht="15.6" x14ac:dyDescent="0.3">
      <c r="B2" s="14" t="s">
        <v>39</v>
      </c>
      <c r="C2" s="14"/>
      <c r="D2" s="19"/>
      <c r="E2" s="19"/>
      <c r="F2" s="19"/>
      <c r="G2" s="19"/>
    </row>
    <row r="3" spans="2:7" ht="15.6" collapsed="1" x14ac:dyDescent="0.3">
      <c r="B3" s="13"/>
      <c r="C3" s="13"/>
      <c r="D3" s="20" t="s">
        <v>41</v>
      </c>
      <c r="E3" s="20" t="s">
        <v>35</v>
      </c>
      <c r="F3" s="20" t="s">
        <v>37</v>
      </c>
      <c r="G3" s="20" t="s">
        <v>38</v>
      </c>
    </row>
    <row r="4" spans="2:7" ht="20.399999999999999" hidden="1" outlineLevel="1" x14ac:dyDescent="0.3">
      <c r="B4" s="16"/>
      <c r="C4" s="16"/>
      <c r="E4" s="22" t="s">
        <v>36</v>
      </c>
      <c r="F4" s="22" t="s">
        <v>36</v>
      </c>
      <c r="G4" s="22" t="s">
        <v>36</v>
      </c>
    </row>
    <row r="5" spans="2:7" x14ac:dyDescent="0.3">
      <c r="B5" s="17" t="s">
        <v>40</v>
      </c>
      <c r="C5" s="17"/>
      <c r="D5" s="15"/>
      <c r="E5" s="15"/>
      <c r="F5" s="15"/>
      <c r="G5" s="15"/>
    </row>
    <row r="6" spans="2:7" outlineLevel="1" x14ac:dyDescent="0.3">
      <c r="B6" s="16"/>
      <c r="C6" s="16" t="s">
        <v>29</v>
      </c>
      <c r="D6" s="6">
        <v>1000</v>
      </c>
      <c r="E6" s="21">
        <v>5000</v>
      </c>
      <c r="F6" s="21">
        <v>15000</v>
      </c>
      <c r="G6" s="21">
        <v>1000</v>
      </c>
    </row>
    <row r="7" spans="2:7" outlineLevel="1" x14ac:dyDescent="0.3">
      <c r="B7" s="16"/>
      <c r="C7" s="16" t="s">
        <v>30</v>
      </c>
      <c r="D7" s="6">
        <v>20000</v>
      </c>
      <c r="E7" s="21">
        <v>40000</v>
      </c>
      <c r="F7" s="21">
        <v>60000</v>
      </c>
      <c r="G7" s="21">
        <v>20000</v>
      </c>
    </row>
    <row r="8" spans="2:7" outlineLevel="1" x14ac:dyDescent="0.3">
      <c r="B8" s="16"/>
      <c r="C8" s="16" t="s">
        <v>31</v>
      </c>
      <c r="D8" s="6">
        <v>4000</v>
      </c>
      <c r="E8" s="21">
        <v>4000</v>
      </c>
      <c r="F8" s="21">
        <v>4000</v>
      </c>
      <c r="G8" s="21">
        <v>4000</v>
      </c>
    </row>
    <row r="9" spans="2:7" outlineLevel="1" x14ac:dyDescent="0.3">
      <c r="B9" s="16"/>
      <c r="C9" s="16" t="s">
        <v>32</v>
      </c>
      <c r="D9" s="6">
        <v>500</v>
      </c>
      <c r="E9" s="21">
        <v>1000</v>
      </c>
      <c r="F9" s="21">
        <v>1500</v>
      </c>
      <c r="G9" s="21">
        <v>500</v>
      </c>
    </row>
    <row r="10" spans="2:7" outlineLevel="1" x14ac:dyDescent="0.3">
      <c r="B10" s="16"/>
      <c r="C10" s="16" t="s">
        <v>33</v>
      </c>
      <c r="D10" s="6">
        <v>50000</v>
      </c>
      <c r="E10" s="6">
        <v>50000</v>
      </c>
      <c r="F10" s="21">
        <v>150000</v>
      </c>
      <c r="G10" s="21">
        <v>50000</v>
      </c>
    </row>
    <row r="11" spans="2:7" x14ac:dyDescent="0.3">
      <c r="B11" s="17" t="s">
        <v>42</v>
      </c>
      <c r="C11" s="17"/>
      <c r="D11" s="15"/>
      <c r="E11" s="15"/>
      <c r="F11" s="15"/>
      <c r="G11" s="15"/>
    </row>
    <row r="12" spans="2:7" ht="15" outlineLevel="1" thickBot="1" x14ac:dyDescent="0.35">
      <c r="B12" s="18"/>
      <c r="C12" s="18" t="s">
        <v>34</v>
      </c>
      <c r="D12" s="12"/>
      <c r="E12" s="12"/>
      <c r="F12" s="12"/>
      <c r="G12" s="12"/>
    </row>
    <row r="13" spans="2:7" x14ac:dyDescent="0.3">
      <c r="B13" t="s">
        <v>43</v>
      </c>
    </row>
    <row r="14" spans="2:7" x14ac:dyDescent="0.3">
      <c r="B14" t="s">
        <v>44</v>
      </c>
    </row>
    <row r="15" spans="2:7" x14ac:dyDescent="0.3">
      <c r="B15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A19D-E947-43A9-B29A-55E8A3E87BCA}">
  <dimension ref="A1:B11"/>
  <sheetViews>
    <sheetView workbookViewId="0">
      <selection activeCell="D5" sqref="D5"/>
    </sheetView>
  </sheetViews>
  <sheetFormatPr defaultRowHeight="14.4" x14ac:dyDescent="0.3"/>
  <cols>
    <col min="1" max="1" width="12.6640625" bestFit="1" customWidth="1"/>
    <col min="2" max="2" width="11.88671875" bestFit="1" customWidth="1"/>
  </cols>
  <sheetData>
    <row r="1" spans="1:2" x14ac:dyDescent="0.3">
      <c r="A1" s="11" t="s">
        <v>21</v>
      </c>
      <c r="B1" s="6">
        <v>50000</v>
      </c>
    </row>
    <row r="2" spans="1:2" x14ac:dyDescent="0.3">
      <c r="A2" s="11"/>
      <c r="B2" s="6"/>
    </row>
    <row r="3" spans="1:2" x14ac:dyDescent="0.3">
      <c r="A3" s="11" t="s">
        <v>22</v>
      </c>
      <c r="B3" s="6"/>
    </row>
    <row r="4" spans="1:2" x14ac:dyDescent="0.3">
      <c r="A4" t="s">
        <v>23</v>
      </c>
      <c r="B4" s="6">
        <v>1000</v>
      </c>
    </row>
    <row r="5" spans="1:2" x14ac:dyDescent="0.3">
      <c r="A5" t="s">
        <v>24</v>
      </c>
      <c r="B5" s="6">
        <v>20000</v>
      </c>
    </row>
    <row r="6" spans="1:2" x14ac:dyDescent="0.3">
      <c r="A6" t="s">
        <v>25</v>
      </c>
      <c r="B6" s="6">
        <v>4000</v>
      </c>
    </row>
    <row r="7" spans="1:2" x14ac:dyDescent="0.3">
      <c r="A7" t="s">
        <v>26</v>
      </c>
      <c r="B7" s="6">
        <v>500</v>
      </c>
    </row>
    <row r="8" spans="1:2" x14ac:dyDescent="0.3">
      <c r="A8" s="11"/>
      <c r="B8" s="6"/>
    </row>
    <row r="9" spans="1:2" x14ac:dyDescent="0.3">
      <c r="A9" s="11" t="s">
        <v>27</v>
      </c>
      <c r="B9" s="6">
        <v>50000</v>
      </c>
    </row>
    <row r="10" spans="1:2" x14ac:dyDescent="0.3">
      <c r="A10" s="11"/>
      <c r="B10" s="6"/>
    </row>
    <row r="11" spans="1:2" x14ac:dyDescent="0.3">
      <c r="A11" s="11" t="s">
        <v>28</v>
      </c>
      <c r="B11" s="6">
        <v>50000</v>
      </c>
    </row>
  </sheetData>
  <scenarios current="2" show="2" sqref="D1">
    <scenario name="original_scenario" locked="1" count="4" user="Karthick TR" comment="Created by Karthick TR on 25-01-2026">
      <inputCells r="B4" val="5000" numFmtId="164"/>
      <inputCells r="B5" val="40000" numFmtId="164"/>
      <inputCells r="B6" val="4000" numFmtId="164"/>
      <inputCells r="B7" val="1000" numFmtId="164"/>
    </scenario>
    <scenario name="high_scenario" locked="1" count="5" user="Karthick TR" comment="Created by Karthick TR on 25-01-2026">
      <inputCells r="B1" val="150000" numFmtId="164"/>
      <inputCells r="B4" val="15000" numFmtId="164"/>
      <inputCells r="B5" val="60000" numFmtId="164"/>
      <inputCells r="B6" val="4000" numFmtId="164"/>
      <inputCells r="B7" val="1500" numFmtId="164"/>
    </scenario>
    <scenario name="low_scenario" locked="1" count="5" user="Karthick TR" comment="Created by Karthick TR on 25-01-2026">
      <inputCells r="B1" val="50000" numFmtId="164"/>
      <inputCells r="B4" val="1000" numFmtId="164"/>
      <inputCells r="B5" val="20000" numFmtId="164"/>
      <inputCells r="B6" val="4000" numFmtId="164"/>
      <inputCells r="B7" val="500" numFmtId="164"/>
    </scenario>
  </scenario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4F61-E9D6-4B6F-ADB4-1F63B61B9F85}">
  <dimension ref="A1:H24"/>
  <sheetViews>
    <sheetView tabSelected="1" workbookViewId="0">
      <selection activeCell="H4" sqref="H4"/>
    </sheetView>
  </sheetViews>
  <sheetFormatPr defaultRowHeight="14.4" x14ac:dyDescent="0.3"/>
  <cols>
    <col min="1" max="1" width="18.33203125" bestFit="1" customWidth="1"/>
    <col min="2" max="2" width="13" bestFit="1" customWidth="1"/>
    <col min="3" max="4" width="11.88671875" bestFit="1" customWidth="1"/>
    <col min="5" max="5" width="15.5546875" bestFit="1" customWidth="1"/>
    <col min="6" max="8" width="11.88671875" bestFit="1" customWidth="1"/>
  </cols>
  <sheetData>
    <row r="1" spans="1:5" x14ac:dyDescent="0.3">
      <c r="A1" s="11" t="s">
        <v>14</v>
      </c>
      <c r="B1" s="6">
        <v>1000000</v>
      </c>
    </row>
    <row r="2" spans="1:5" x14ac:dyDescent="0.3">
      <c r="A2" s="11" t="s">
        <v>46</v>
      </c>
      <c r="B2" s="5">
        <v>0.08</v>
      </c>
    </row>
    <row r="3" spans="1:5" x14ac:dyDescent="0.3">
      <c r="A3" s="11" t="s">
        <v>47</v>
      </c>
      <c r="B3">
        <v>30</v>
      </c>
    </row>
    <row r="4" spans="1:5" x14ac:dyDescent="0.3">
      <c r="A4" s="11" t="s">
        <v>48</v>
      </c>
      <c r="B4" s="6">
        <f>PMT(B2/12,B3,-B1)</f>
        <v>36888.32383968668</v>
      </c>
    </row>
    <row r="8" spans="1:5" x14ac:dyDescent="0.3">
      <c r="D8" s="11" t="s">
        <v>49</v>
      </c>
      <c r="E8" s="34">
        <f>PMT(B2/12,B3,-B1)</f>
        <v>36888.32383968668</v>
      </c>
    </row>
    <row r="9" spans="1:5" x14ac:dyDescent="0.3">
      <c r="D9" s="9">
        <v>0.06</v>
      </c>
      <c r="E9">
        <f t="dataTable" ref="E9:E16" dt2D="0" dtr="0" r1="B2" ca="1"/>
        <v>35978.918413828032</v>
      </c>
    </row>
    <row r="10" spans="1:5" x14ac:dyDescent="0.3">
      <c r="D10" s="5">
        <v>6.5000000000000002E-2</v>
      </c>
      <c r="E10">
        <v>36204.983913145617</v>
      </c>
    </row>
    <row r="11" spans="1:5" x14ac:dyDescent="0.3">
      <c r="D11" s="9">
        <v>7.0000000000000007E-2</v>
      </c>
      <c r="E11">
        <v>36431.907248909381</v>
      </c>
    </row>
    <row r="12" spans="1:5" x14ac:dyDescent="0.3">
      <c r="D12" s="5">
        <v>7.4999999999999997E-2</v>
      </c>
      <c r="E12">
        <v>36659.687529869247</v>
      </c>
    </row>
    <row r="13" spans="1:5" x14ac:dyDescent="0.3">
      <c r="D13" s="9">
        <v>0.08</v>
      </c>
      <c r="E13">
        <v>36888.32383968668</v>
      </c>
    </row>
    <row r="14" spans="1:5" x14ac:dyDescent="0.3">
      <c r="D14" s="5">
        <v>8.5000000000000006E-2</v>
      </c>
      <c r="E14">
        <v>37117.815237056398</v>
      </c>
    </row>
    <row r="15" spans="1:5" x14ac:dyDescent="0.3">
      <c r="D15" s="9">
        <v>0.09</v>
      </c>
      <c r="E15">
        <v>37348.160755830344</v>
      </c>
    </row>
    <row r="16" spans="1:5" x14ac:dyDescent="0.3">
      <c r="D16" s="5">
        <v>9.5000000000000001E-2</v>
      </c>
      <c r="E16">
        <v>37579.359405144271</v>
      </c>
    </row>
    <row r="17" spans="1:8" ht="15" thickBot="1" x14ac:dyDescent="0.35"/>
    <row r="18" spans="1:8" x14ac:dyDescent="0.3">
      <c r="A18" s="24">
        <f>PMT(B2/12,B3,-B1)</f>
        <v>36888.32383968668</v>
      </c>
      <c r="B18" s="25">
        <v>0.06</v>
      </c>
      <c r="C18" s="26">
        <v>6.5000000000000002E-2</v>
      </c>
      <c r="D18" s="25">
        <v>7.0000000000000007E-2</v>
      </c>
      <c r="E18" s="26">
        <v>7.4999999999999997E-2</v>
      </c>
      <c r="F18" s="25">
        <v>0.08</v>
      </c>
      <c r="G18" s="26">
        <v>8.5000000000000006E-2</v>
      </c>
      <c r="H18" s="27">
        <v>9.5000000000000001E-2</v>
      </c>
    </row>
    <row r="19" spans="1:8" x14ac:dyDescent="0.3">
      <c r="A19" s="28">
        <v>1500000</v>
      </c>
      <c r="B19" s="29">
        <f t="dataTable" ref="B19:H24" dt2D="1" dtr="1" r1="B2" r2="B1"/>
        <v>53968.377620742045</v>
      </c>
      <c r="C19" s="29">
        <v>54307.475869718422</v>
      </c>
      <c r="D19" s="29">
        <v>54647.860873364072</v>
      </c>
      <c r="E19" s="29">
        <v>54989.531294803863</v>
      </c>
      <c r="F19" s="29">
        <v>55332.48575953002</v>
      </c>
      <c r="G19" s="29">
        <v>55676.722855584601</v>
      </c>
      <c r="H19" s="30">
        <v>56369.039107716409</v>
      </c>
    </row>
    <row r="20" spans="1:8" x14ac:dyDescent="0.3">
      <c r="A20" s="28">
        <v>2000000</v>
      </c>
      <c r="B20" s="29">
        <v>71957.836827656065</v>
      </c>
      <c r="C20" s="29">
        <v>72409.967826291235</v>
      </c>
      <c r="D20" s="29">
        <v>72863.814497818763</v>
      </c>
      <c r="E20" s="29">
        <v>73319.375059738493</v>
      </c>
      <c r="F20" s="29">
        <v>73776.64767937336</v>
      </c>
      <c r="G20" s="29">
        <v>74235.630474112797</v>
      </c>
      <c r="H20" s="30">
        <v>75158.718810288541</v>
      </c>
    </row>
    <row r="21" spans="1:8" x14ac:dyDescent="0.3">
      <c r="A21" s="28">
        <v>2500000</v>
      </c>
      <c r="B21" s="29">
        <v>89947.29603457007</v>
      </c>
      <c r="C21" s="29">
        <v>90512.45978286404</v>
      </c>
      <c r="D21" s="29">
        <v>91079.768122273454</v>
      </c>
      <c r="E21" s="29">
        <v>91649.218824673109</v>
      </c>
      <c r="F21" s="29">
        <v>92220.809599216693</v>
      </c>
      <c r="G21" s="29">
        <v>92794.538092641</v>
      </c>
      <c r="H21" s="30">
        <v>93948.398512860673</v>
      </c>
    </row>
    <row r="22" spans="1:8" x14ac:dyDescent="0.3">
      <c r="A22" s="28">
        <v>3000000</v>
      </c>
      <c r="B22" s="29">
        <v>107936.75524148409</v>
      </c>
      <c r="C22" s="29">
        <v>108614.95173943684</v>
      </c>
      <c r="D22" s="29">
        <v>109295.72174672814</v>
      </c>
      <c r="E22" s="29">
        <v>109979.06258960773</v>
      </c>
      <c r="F22" s="29">
        <v>110664.97151906004</v>
      </c>
      <c r="G22" s="29">
        <v>111353.4457111692</v>
      </c>
      <c r="H22" s="30">
        <v>112738.07821543282</v>
      </c>
    </row>
    <row r="23" spans="1:8" x14ac:dyDescent="0.3">
      <c r="A23" s="28">
        <v>3500000</v>
      </c>
      <c r="B23" s="29">
        <v>125926.2144483981</v>
      </c>
      <c r="C23" s="29">
        <v>126717.44369600965</v>
      </c>
      <c r="D23" s="29">
        <v>127511.67537118284</v>
      </c>
      <c r="E23" s="29">
        <v>128308.90635454234</v>
      </c>
      <c r="F23" s="29">
        <v>129109.13343890337</v>
      </c>
      <c r="G23" s="29">
        <v>129912.35332969741</v>
      </c>
      <c r="H23" s="30">
        <v>131527.75791800494</v>
      </c>
    </row>
    <row r="24" spans="1:8" ht="15" thickBot="1" x14ac:dyDescent="0.35">
      <c r="A24" s="31">
        <v>4000000</v>
      </c>
      <c r="B24" s="32">
        <v>143915.67365531213</v>
      </c>
      <c r="C24" s="32">
        <v>144819.93565258247</v>
      </c>
      <c r="D24" s="32">
        <v>145727.62899563753</v>
      </c>
      <c r="E24" s="32">
        <v>146638.75011947699</v>
      </c>
      <c r="F24" s="32">
        <v>147553.29535874672</v>
      </c>
      <c r="G24" s="32">
        <v>148471.26094822559</v>
      </c>
      <c r="H24" s="33">
        <v>150317.43762057708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13BC5-5693-4886-B4C4-8B4EA89A3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date_time</vt:lpstr>
      <vt:lpstr>data_transform</vt:lpstr>
      <vt:lpstr>what_if</vt:lpstr>
      <vt:lpstr>goal_seek</vt:lpstr>
      <vt:lpstr>Scenario Summary</vt:lpstr>
      <vt:lpstr>scenario_manager</vt:lpstr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2026-01-25T06:40:39Z</dcterms:created>
  <dcterms:modified xsi:type="dcterms:W3CDTF">2026-01-25T09:05:26Z</dcterms:modified>
</cp:coreProperties>
</file>