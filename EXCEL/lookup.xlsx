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OneDrive\Desktop\Swetha\EXCEL\"/>
    </mc:Choice>
  </mc:AlternateContent>
  <xr:revisionPtr revIDLastSave="0" documentId="13_ncr:1_{49620F5F-57E9-4965-86D8-CA3944066BCC}" xr6:coauthVersionLast="47" xr6:coauthVersionMax="47" xr10:uidLastSave="{00000000-0000-0000-0000-000000000000}"/>
  <bookViews>
    <workbookView xWindow="-108" yWindow="-108" windowWidth="23256" windowHeight="12456" activeTab="3" xr2:uid="{8416FB09-1445-4BFA-AAD4-61DDC50AD686}"/>
  </bookViews>
  <sheets>
    <sheet name="producttype_info" sheetId="2" r:id="rId1"/>
    <sheet name="lookup_data" sheetId="3" r:id="rId2"/>
    <sheet name="Sheet1" sheetId="4" r:id="rId3"/>
    <sheet name="xlookup" sheetId="8" r:id="rId4"/>
    <sheet name="index_match" sheetId="9" r:id="rId5"/>
    <sheet name="hlookup" sheetId="7" r:id="rId6"/>
    <sheet name="Sheet2" sheetId="5" r:id="rId7"/>
    <sheet name="app_match" sheetId="6" r:id="rId8"/>
  </sheets>
  <definedNames>
    <definedName name="Product">index_match!$E$2:$E$1048576</definedName>
    <definedName name="Product_Category">index_match!$B$2:$B$1048576</definedName>
    <definedName name="Product_TypeA">index_match!$A$2:$A$1048576</definedName>
    <definedName name="Profit">index_match!$C$2:$C$1048576</definedName>
    <definedName name="Sales">index_match!$D$2:$D$1048576</definedName>
    <definedName name="superstore_data">Sheet1!$A$2:$D$103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8" l="1"/>
  <c r="H6" i="8"/>
  <c r="L14" i="9"/>
  <c r="L13" i="9"/>
  <c r="L2" i="9"/>
  <c r="I13" i="4"/>
  <c r="C16" i="5"/>
  <c r="C17" i="5"/>
  <c r="C18" i="5"/>
  <c r="C19" i="5"/>
  <c r="C20" i="5"/>
  <c r="C21" i="5"/>
  <c r="C22" i="5"/>
  <c r="F15" i="4"/>
  <c r="F14" i="4"/>
  <c r="B17" i="5"/>
  <c r="B18" i="5"/>
  <c r="B19" i="5"/>
  <c r="B20" i="5"/>
  <c r="B21" i="5"/>
  <c r="B22" i="5"/>
  <c r="B16" i="5"/>
  <c r="D14" i="6"/>
  <c r="D15" i="6"/>
  <c r="D16" i="6"/>
  <c r="D13" i="6"/>
  <c r="C3" i="5"/>
  <c r="C4" i="5"/>
  <c r="C5" i="5"/>
  <c r="C6" i="5"/>
  <c r="C7" i="5"/>
  <c r="C8" i="5"/>
  <c r="C2" i="5"/>
  <c r="B3" i="5"/>
  <c r="B4" i="5"/>
  <c r="B5" i="5"/>
  <c r="B6" i="5"/>
  <c r="B7" i="5"/>
  <c r="B8" i="5"/>
  <c r="B2" i="5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</calcChain>
</file>

<file path=xl/sharedStrings.xml><?xml version="1.0" encoding="utf-8"?>
<sst xmlns="http://schemas.openxmlformats.org/spreadsheetml/2006/main" count="947" uniqueCount="282">
  <si>
    <t>Area Code</t>
  </si>
  <si>
    <t>Product</t>
  </si>
  <si>
    <t>Product Type</t>
  </si>
  <si>
    <t>State</t>
  </si>
  <si>
    <t>Territory</t>
  </si>
  <si>
    <t>Target Profit</t>
  </si>
  <si>
    <t>Profit</t>
  </si>
  <si>
    <t>Marked Price</t>
  </si>
  <si>
    <t>Decaf Irish Cream</t>
  </si>
  <si>
    <t>Colorado</t>
  </si>
  <si>
    <t>Central</t>
  </si>
  <si>
    <t>Illinois</t>
  </si>
  <si>
    <t>Ohio</t>
  </si>
  <si>
    <t>Florida</t>
  </si>
  <si>
    <t>East</t>
  </si>
  <si>
    <t>Texas</t>
  </si>
  <si>
    <t>South</t>
  </si>
  <si>
    <t>California</t>
  </si>
  <si>
    <t>West</t>
  </si>
  <si>
    <t>Decaf Espresso</t>
  </si>
  <si>
    <t>Amaretto</t>
  </si>
  <si>
    <t>Colombian</t>
  </si>
  <si>
    <t>Massachusetts</t>
  </si>
  <si>
    <t>New York</t>
  </si>
  <si>
    <t>Caffe Mocha</t>
  </si>
  <si>
    <t>Regular Espresso</t>
  </si>
  <si>
    <t>Caffe Latte</t>
  </si>
  <si>
    <t>Iowa</t>
  </si>
  <si>
    <t>Missouri</t>
  </si>
  <si>
    <t>Wisconsin</t>
  </si>
  <si>
    <t>Louisiana</t>
  </si>
  <si>
    <t>New Mexico</t>
  </si>
  <si>
    <t>Oklahoma</t>
  </si>
  <si>
    <t>Nevada</t>
  </si>
  <si>
    <t>Oregon</t>
  </si>
  <si>
    <t>Utah</t>
  </si>
  <si>
    <t>Washington</t>
  </si>
  <si>
    <t>Connecticut</t>
  </si>
  <si>
    <t>New Hampshire</t>
  </si>
  <si>
    <t>Chamomile</t>
  </si>
  <si>
    <t>Lemon</t>
  </si>
  <si>
    <t>Mint</t>
  </si>
  <si>
    <t>Coffee</t>
  </si>
  <si>
    <t>Espresso</t>
  </si>
  <si>
    <t>Herbal Tea</t>
  </si>
  <si>
    <t>Darjeeling</t>
  </si>
  <si>
    <t>Tea</t>
  </si>
  <si>
    <t>Earl Grey</t>
  </si>
  <si>
    <t>Green Tea</t>
  </si>
  <si>
    <t>Order ID</t>
  </si>
  <si>
    <t>Customer Name</t>
  </si>
  <si>
    <t>Sales</t>
  </si>
  <si>
    <t>CA-2019-100867</t>
  </si>
  <si>
    <t>Eugene Hildebrand</t>
  </si>
  <si>
    <t>CA-2019-107153</t>
  </si>
  <si>
    <t>George Zrebassa</t>
  </si>
  <si>
    <t>CA-2019-115238</t>
  </si>
  <si>
    <t>Jane Waco</t>
  </si>
  <si>
    <t>CA-2019-115777</t>
  </si>
  <si>
    <t>Doug O'Connell</t>
  </si>
  <si>
    <t>CA-2019-117964</t>
  </si>
  <si>
    <t>Michael Knudson</t>
  </si>
  <si>
    <t>CA-2019-119508</t>
  </si>
  <si>
    <t>Tracy Zic</t>
  </si>
  <si>
    <t>CA-2019-123625</t>
  </si>
  <si>
    <t>Bruce Galang</t>
  </si>
  <si>
    <t>CA-2019-123664</t>
  </si>
  <si>
    <t>Neil Cohen</t>
  </si>
  <si>
    <t>CA-2019-125388</t>
  </si>
  <si>
    <t>Michael Paige</t>
  </si>
  <si>
    <t>CA-2019-126438</t>
  </si>
  <si>
    <t>Alex Russell</t>
  </si>
  <si>
    <t>CA-2019-126634</t>
  </si>
  <si>
    <t>Alan Barnes</t>
  </si>
  <si>
    <t>CA-2019-129322</t>
  </si>
  <si>
    <t>Denny Blanton</t>
  </si>
  <si>
    <t>CA-2019-131807</t>
  </si>
  <si>
    <t>Greg Guthrie</t>
  </si>
  <si>
    <t>CA-2019-132339</t>
  </si>
  <si>
    <t>Jennifer Braxton</t>
  </si>
  <si>
    <t>CA-2019-139675</t>
  </si>
  <si>
    <t>Nicole Fjeld</t>
  </si>
  <si>
    <t>CA-2019-141531</t>
  </si>
  <si>
    <t>CA-2019-143500</t>
  </si>
  <si>
    <t>Harry Olson</t>
  </si>
  <si>
    <t>CA-2019-146626</t>
  </si>
  <si>
    <t>James Peterman</t>
  </si>
  <si>
    <t>CA-2019-151799</t>
  </si>
  <si>
    <t>Ben Ferrer</t>
  </si>
  <si>
    <t>CA-2019-152443</t>
  </si>
  <si>
    <t>Frank Gastineau</t>
  </si>
  <si>
    <t>CA-2019-153623</t>
  </si>
  <si>
    <t>CA-2019-153738</t>
  </si>
  <si>
    <t>Alejandro Grove</t>
  </si>
  <si>
    <t>CA-2019-160325</t>
  </si>
  <si>
    <t>Bart Pistole</t>
  </si>
  <si>
    <t>CA-2019-166086</t>
  </si>
  <si>
    <t>Carol Triggs</t>
  </si>
  <si>
    <t>CA-2019-166695</t>
  </si>
  <si>
    <t>Chuck Clark</t>
  </si>
  <si>
    <t>CA-2019-184712</t>
  </si>
  <si>
    <t>CA-2020-112224</t>
  </si>
  <si>
    <t>CA-2020-115238</t>
  </si>
  <si>
    <t>CA-2020-119508</t>
  </si>
  <si>
    <t>CA-2020-129322</t>
  </si>
  <si>
    <t>CA-2020-132548</t>
  </si>
  <si>
    <t>CA-2020-139675</t>
  </si>
  <si>
    <t>CA-2020-145154</t>
  </si>
  <si>
    <t>CA-2020-150547</t>
  </si>
  <si>
    <t>CA-2020-152681</t>
  </si>
  <si>
    <t>Scott Cohen</t>
  </si>
  <si>
    <t>CA-2020-153071</t>
  </si>
  <si>
    <t>CA-2020-153738</t>
  </si>
  <si>
    <t>CA-2020-154124</t>
  </si>
  <si>
    <t>CA-2020-154231</t>
  </si>
  <si>
    <t>CA-2020-155586</t>
  </si>
  <si>
    <t>Xylona Preis</t>
  </si>
  <si>
    <t>CA-2020-158792</t>
  </si>
  <si>
    <t>Brian Dahlen</t>
  </si>
  <si>
    <t>CA-2021-108735</t>
  </si>
  <si>
    <t>Jessica Myrick</t>
  </si>
  <si>
    <t>CA-2021-111254</t>
  </si>
  <si>
    <t>CA-2021-112109</t>
  </si>
  <si>
    <t>Joe Elijah</t>
  </si>
  <si>
    <t>CA-2021-115238</t>
  </si>
  <si>
    <t>CA-2021-115483</t>
  </si>
  <si>
    <t>Jill Trafton</t>
  </si>
  <si>
    <t>CA-2021-119508</t>
  </si>
  <si>
    <t>CA-2021-121465</t>
  </si>
  <si>
    <t>CA-2021-124574</t>
  </si>
  <si>
    <t>CA-2021-124626</t>
  </si>
  <si>
    <t>CA-2021-125724</t>
  </si>
  <si>
    <t>Suzanne McNair</t>
  </si>
  <si>
    <t>CA-2021-126627</t>
  </si>
  <si>
    <t>William Brown</t>
  </si>
  <si>
    <t>CA-2021-129322</t>
  </si>
  <si>
    <t>CA-2021-133541</t>
  </si>
  <si>
    <t>CA-2021-135480</t>
  </si>
  <si>
    <t>CA-2021-136547</t>
  </si>
  <si>
    <t>CA-2021-139675</t>
  </si>
  <si>
    <t>CA-2021-141082</t>
  </si>
  <si>
    <t>Fred McMath</t>
  </si>
  <si>
    <t>CA-2021-153738</t>
  </si>
  <si>
    <t>CA-2021-155412</t>
  </si>
  <si>
    <t>CA-2021-155586</t>
  </si>
  <si>
    <t>CA-2021-158792</t>
  </si>
  <si>
    <t>CA-2021-169856</t>
  </si>
  <si>
    <t>CA-2021-174514</t>
  </si>
  <si>
    <t>CA-2021-187423</t>
  </si>
  <si>
    <t>CA-2021-192314</t>
  </si>
  <si>
    <t>Jennifer Sheldon</t>
  </si>
  <si>
    <t>CA-2022-105471</t>
  </si>
  <si>
    <t>CA-2022-106541</t>
  </si>
  <si>
    <t>CA-2022-107004</t>
  </si>
  <si>
    <t>CA-2022-108735</t>
  </si>
  <si>
    <t>CA-2022-112109</t>
  </si>
  <si>
    <t>CA-2022-115238</t>
  </si>
  <si>
    <t>CA-2022-115483</t>
  </si>
  <si>
    <t>CA-2022-115777</t>
  </si>
  <si>
    <t>CA-2022-119508</t>
  </si>
  <si>
    <t>CA-2022-121451</t>
  </si>
  <si>
    <t>CA-2022-124626</t>
  </si>
  <si>
    <t>CA-2022-125388</t>
  </si>
  <si>
    <t>CA-2022-125724</t>
  </si>
  <si>
    <t>CA-2022-126438</t>
  </si>
  <si>
    <t>CA-2022-126627</t>
  </si>
  <si>
    <t>CA-2022-126634</t>
  </si>
  <si>
    <t>CA-2022-129322</t>
  </si>
  <si>
    <t>CA-2022-130494</t>
  </si>
  <si>
    <t>CA-2022-131807</t>
  </si>
  <si>
    <t>CA-2022-132339</t>
  </si>
  <si>
    <t>CA-2022-135471</t>
  </si>
  <si>
    <t>CA-2022-135480</t>
  </si>
  <si>
    <t>CA-2022-139675</t>
  </si>
  <si>
    <t>CA-2022-141082</t>
  </si>
  <si>
    <t>CA-2022-141531</t>
  </si>
  <si>
    <t>CA-2022-143500</t>
  </si>
  <si>
    <t>CA-2022-145612</t>
  </si>
  <si>
    <t>CA-2022-146626</t>
  </si>
  <si>
    <t>CA-2022-151799</t>
  </si>
  <si>
    <t>CA-2022-153738</t>
  </si>
  <si>
    <t>CA-2022-154121</t>
  </si>
  <si>
    <t>CA-2022-158740</t>
  </si>
  <si>
    <t>CA-2022-160325</t>
  </si>
  <si>
    <t>CA-2022-166695</t>
  </si>
  <si>
    <t>CA-2022-184712</t>
  </si>
  <si>
    <t>CA-2022-192314</t>
  </si>
  <si>
    <t>CA-2020-111111</t>
  </si>
  <si>
    <t>Karthick</t>
  </si>
  <si>
    <t>Selling Price</t>
  </si>
  <si>
    <t>TAX Rate</t>
  </si>
  <si>
    <t>Lower End</t>
  </si>
  <si>
    <t>Higher End</t>
  </si>
  <si>
    <t>VAT</t>
  </si>
  <si>
    <t>above</t>
  </si>
  <si>
    <t>Tax</t>
  </si>
  <si>
    <t xml:space="preserve"> </t>
  </si>
  <si>
    <t>Quarter1</t>
  </si>
  <si>
    <t>Quarter 2</t>
  </si>
  <si>
    <t>Quarter3</t>
  </si>
  <si>
    <t>Regular Expresso</t>
  </si>
  <si>
    <t>$ 1,234</t>
  </si>
  <si>
    <t>$ 731</t>
  </si>
  <si>
    <t>$ 5,678</t>
  </si>
  <si>
    <t>$ 8,976</t>
  </si>
  <si>
    <t>$ 8,765</t>
  </si>
  <si>
    <t>$ 6,709</t>
  </si>
  <si>
    <t>$ 4,567</t>
  </si>
  <si>
    <t>$ 4,367</t>
  </si>
  <si>
    <t>$ 7,509</t>
  </si>
  <si>
    <t>$ 7,896</t>
  </si>
  <si>
    <t>$ 9,823</t>
  </si>
  <si>
    <t>$ 3,456</t>
  </si>
  <si>
    <t>$ 4,587</t>
  </si>
  <si>
    <t>$ 7,623</t>
  </si>
  <si>
    <t>$ 6,543</t>
  </si>
  <si>
    <t>$ 2,458</t>
  </si>
  <si>
    <t>$ 1,348</t>
  </si>
  <si>
    <t>Decaf Expresso</t>
  </si>
  <si>
    <t>$ 3,679</t>
  </si>
  <si>
    <t>$ 9,875</t>
  </si>
  <si>
    <t>$ 9,876</t>
  </si>
  <si>
    <t>Darjelling</t>
  </si>
  <si>
    <t>$ 8,734</t>
  </si>
  <si>
    <t>$ 3,568</t>
  </si>
  <si>
    <t>$ 5,634</t>
  </si>
  <si>
    <t>$ 2,567</t>
  </si>
  <si>
    <t>$ 9,865</t>
  </si>
  <si>
    <t>$ 5,687</t>
  </si>
  <si>
    <t>$ 8,632</t>
  </si>
  <si>
    <t>$ 4,689</t>
  </si>
  <si>
    <t>$ 6,534</t>
  </si>
  <si>
    <t>$ 6,790</t>
  </si>
  <si>
    <t>$ 278</t>
  </si>
  <si>
    <t>$ 2,578</t>
  </si>
  <si>
    <t>$ 5,320</t>
  </si>
  <si>
    <t>$ 1,789</t>
  </si>
  <si>
    <t>$ 7,801</t>
  </si>
  <si>
    <t>$ 9,845</t>
  </si>
  <si>
    <t>Quarter</t>
  </si>
  <si>
    <t>Product TypeA</t>
  </si>
  <si>
    <t>Product Category</t>
  </si>
  <si>
    <t>Beans</t>
  </si>
  <si>
    <t>$4,786</t>
  </si>
  <si>
    <t>$11,457</t>
  </si>
  <si>
    <t>Amaratto</t>
  </si>
  <si>
    <t>Expresso</t>
  </si>
  <si>
    <t>$8,765</t>
  </si>
  <si>
    <t>$78,965</t>
  </si>
  <si>
    <t>cafelatte</t>
  </si>
  <si>
    <t>Leaves</t>
  </si>
  <si>
    <t>$ 4,568</t>
  </si>
  <si>
    <t>$9,876</t>
  </si>
  <si>
    <t>$12,456</t>
  </si>
  <si>
    <t>Café Mocha</t>
  </si>
  <si>
    <t>$ 987</t>
  </si>
  <si>
    <t>$4,578</t>
  </si>
  <si>
    <t>Regualar Expresso</t>
  </si>
  <si>
    <t>$ 6,784</t>
  </si>
  <si>
    <t>$87,543</t>
  </si>
  <si>
    <t>Lemon ice</t>
  </si>
  <si>
    <t>$ 2,398</t>
  </si>
  <si>
    <t>$4,567</t>
  </si>
  <si>
    <t>Lemon cool</t>
  </si>
  <si>
    <t>$ 45,098</t>
  </si>
  <si>
    <t>$11,267</t>
  </si>
  <si>
    <t>$ 3,489</t>
  </si>
  <si>
    <t>$8,905</t>
  </si>
  <si>
    <t>Clombian</t>
  </si>
  <si>
    <t>$7,890</t>
  </si>
  <si>
    <t>Mint bar</t>
  </si>
  <si>
    <t>$ 2,319</t>
  </si>
  <si>
    <t>$4,590</t>
  </si>
  <si>
    <t>Regular Lemon</t>
  </si>
  <si>
    <t>$ 78,965</t>
  </si>
  <si>
    <t>$118,796</t>
  </si>
  <si>
    <t>$ 9,843</t>
  </si>
  <si>
    <t>$98,765</t>
  </si>
  <si>
    <t>$95,438</t>
  </si>
  <si>
    <t>Lemon Sparsh</t>
  </si>
  <si>
    <t>$ 7,895</t>
  </si>
  <si>
    <t>$123,679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</si>
</sst>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20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9ED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vertical="center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3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/>
    <xf numFmtId="49" fontId="0" fillId="0" borderId="0" xfId="0" applyNumberFormat="1"/>
    <xf numFmtId="164" fontId="0" fillId="0" borderId="0" xfId="0" applyNumberFormat="1"/>
    <xf numFmtId="49" fontId="0" fillId="5" borderId="10" xfId="0" applyNumberFormat="1" applyFont="1" applyFill="1" applyBorder="1"/>
    <xf numFmtId="164" fontId="0" fillId="5" borderId="10" xfId="0" applyNumberFormat="1" applyFont="1" applyFill="1" applyBorder="1"/>
    <xf numFmtId="49" fontId="0" fillId="0" borderId="10" xfId="0" applyNumberFormat="1" applyFont="1" applyBorder="1"/>
    <xf numFmtId="164" fontId="0" fillId="0" borderId="10" xfId="0" applyNumberFormat="1" applyFont="1" applyBorder="1"/>
    <xf numFmtId="49" fontId="4" fillId="4" borderId="0" xfId="0" applyNumberFormat="1" applyFont="1" applyFill="1" applyBorder="1"/>
    <xf numFmtId="164" fontId="4" fillId="4" borderId="0" xfId="0" applyNumberFormat="1" applyFont="1" applyFill="1" applyBorder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73EAC3-4F70-4EF8-B29D-75FD1A4AACCE}" name="twoway_table" displayName="twoway_table" ref="A1:D14" totalsRowShown="0" headerRowDxfId="0">
  <autoFilter ref="A1:D14" xr:uid="{BD73EAC3-4F70-4EF8-B29D-75FD1A4AACCE}"/>
  <tableColumns count="4">
    <tableColumn id="1" xr3:uid="{F6477678-7C4D-4351-BA1B-17353D367AA1}" name="Product"/>
    <tableColumn id="2" xr3:uid="{9C2292EE-0E8E-4F53-9C52-54614B874C2F}" name="Quarter1"/>
    <tableColumn id="3" xr3:uid="{8B456B64-35B6-4938-AC1E-AAA0B58F963E}" name="Quarter 2"/>
    <tableColumn id="4" xr3:uid="{1502E252-3F6F-4FBD-A268-EAD75977DC4F}" name="Quarter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B0301-CF59-4C17-BC73-746877E1BED0}" name="im_table" displayName="im_table" ref="A1:E17" totalsRowShown="0" headerRowDxfId="1" dataDxfId="2" tableBorderDxfId="8">
  <autoFilter ref="A1:E17" xr:uid="{718B0301-CF59-4C17-BC73-746877E1BED0}"/>
  <tableColumns count="5">
    <tableColumn id="1" xr3:uid="{1A288632-08FC-43DB-BF58-27E516D074C8}" name="Product TypeA" dataDxfId="7"/>
    <tableColumn id="2" xr3:uid="{FA74D2F0-80AB-4E19-9E14-09AE3242A46F}" name="Product Category" dataDxfId="6"/>
    <tableColumn id="3" xr3:uid="{25050E5B-4E40-4A0A-B43E-E650C3406414}" name="Profit" dataDxfId="5"/>
    <tableColumn id="4" xr3:uid="{DF2F752B-4556-4E73-B125-6FB6421668CB}" name="Sales" dataDxfId="4"/>
    <tableColumn id="5" xr3:uid="{A72F2825-1313-4569-9BD0-40B01ED5182B}" name="Produc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DD38-AFEB-49FA-81F2-49BF3C996568}">
  <dimension ref="A1:B14"/>
  <sheetViews>
    <sheetView workbookViewId="0">
      <selection activeCell="B25" sqref="B25"/>
    </sheetView>
  </sheetViews>
  <sheetFormatPr defaultColWidth="10.77734375" defaultRowHeight="14.4" x14ac:dyDescent="0.3"/>
  <cols>
    <col min="1" max="2" width="25.77734375" customWidth="1"/>
  </cols>
  <sheetData>
    <row r="1" spans="1:2" ht="19.95" customHeight="1" thickBot="1" x14ac:dyDescent="0.55000000000000004">
      <c r="A1" s="1" t="s">
        <v>1</v>
      </c>
      <c r="B1" s="2" t="s">
        <v>2</v>
      </c>
    </row>
    <row r="2" spans="1:2" ht="19.95" customHeight="1" thickBot="1" x14ac:dyDescent="0.55000000000000004">
      <c r="A2" s="3" t="s">
        <v>20</v>
      </c>
      <c r="B2" s="4" t="s">
        <v>42</v>
      </c>
    </row>
    <row r="3" spans="1:2" ht="19.95" customHeight="1" thickBot="1" x14ac:dyDescent="0.55000000000000004">
      <c r="A3" s="3" t="s">
        <v>26</v>
      </c>
      <c r="B3" s="4" t="s">
        <v>43</v>
      </c>
    </row>
    <row r="4" spans="1:2" ht="19.95" customHeight="1" thickBot="1" x14ac:dyDescent="0.55000000000000004">
      <c r="A4" s="3" t="s">
        <v>24</v>
      </c>
      <c r="B4" s="4" t="s">
        <v>43</v>
      </c>
    </row>
    <row r="5" spans="1:2" ht="19.95" customHeight="1" thickBot="1" x14ac:dyDescent="0.55000000000000004">
      <c r="A5" s="3" t="s">
        <v>39</v>
      </c>
      <c r="B5" s="5" t="s">
        <v>44</v>
      </c>
    </row>
    <row r="6" spans="1:2" ht="19.95" customHeight="1" thickBot="1" x14ac:dyDescent="0.55000000000000004">
      <c r="A6" s="3" t="s">
        <v>21</v>
      </c>
      <c r="B6" s="4" t="s">
        <v>42</v>
      </c>
    </row>
    <row r="7" spans="1:2" ht="19.95" customHeight="1" thickBot="1" x14ac:dyDescent="0.55000000000000004">
      <c r="A7" s="3" t="s">
        <v>45</v>
      </c>
      <c r="B7" s="4" t="s">
        <v>46</v>
      </c>
    </row>
    <row r="8" spans="1:2" ht="19.95" customHeight="1" thickBot="1" x14ac:dyDescent="0.55000000000000004">
      <c r="A8" s="3" t="s">
        <v>19</v>
      </c>
      <c r="B8" s="4" t="s">
        <v>43</v>
      </c>
    </row>
    <row r="9" spans="1:2" ht="19.95" customHeight="1" thickBot="1" x14ac:dyDescent="0.55000000000000004">
      <c r="A9" s="3" t="s">
        <v>8</v>
      </c>
      <c r="B9" s="4" t="s">
        <v>42</v>
      </c>
    </row>
    <row r="10" spans="1:2" ht="19.95" customHeight="1" thickBot="1" x14ac:dyDescent="0.55000000000000004">
      <c r="A10" s="3" t="s">
        <v>47</v>
      </c>
      <c r="B10" s="4" t="s">
        <v>46</v>
      </c>
    </row>
    <row r="11" spans="1:2" ht="19.95" customHeight="1" thickBot="1" x14ac:dyDescent="0.55000000000000004">
      <c r="A11" s="3" t="s">
        <v>48</v>
      </c>
      <c r="B11" s="4" t="s">
        <v>46</v>
      </c>
    </row>
    <row r="12" spans="1:2" ht="19.95" customHeight="1" thickBot="1" x14ac:dyDescent="0.55000000000000004">
      <c r="A12" s="3" t="s">
        <v>40</v>
      </c>
      <c r="B12" s="5" t="s">
        <v>44</v>
      </c>
    </row>
    <row r="13" spans="1:2" ht="19.95" customHeight="1" thickBot="1" x14ac:dyDescent="0.55000000000000004">
      <c r="A13" s="3" t="s">
        <v>41</v>
      </c>
      <c r="B13" s="5" t="s">
        <v>44</v>
      </c>
    </row>
    <row r="14" spans="1:2" ht="19.95" customHeight="1" thickBot="1" x14ac:dyDescent="0.55000000000000004">
      <c r="A14" s="6" t="s">
        <v>25</v>
      </c>
      <c r="B14" s="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99F3-6498-4A46-876E-B80687F6938E}">
  <dimension ref="A1:H101"/>
  <sheetViews>
    <sheetView topLeftCell="A6" zoomScale="79" zoomScaleNormal="79" workbookViewId="0">
      <selection activeCell="E6" sqref="E6"/>
    </sheetView>
  </sheetViews>
  <sheetFormatPr defaultColWidth="25.77734375" defaultRowHeight="19.95" customHeight="1" x14ac:dyDescent="0.3"/>
  <cols>
    <col min="2" max="2" width="27.77734375" customWidth="1"/>
    <col min="3" max="3" width="36.109375" customWidth="1"/>
  </cols>
  <sheetData>
    <row r="1" spans="1:8" ht="19.95" customHeight="1" thickBot="1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8" ht="19.95" customHeight="1" thickBot="1" x14ac:dyDescent="0.45">
      <c r="A2" s="11">
        <v>970</v>
      </c>
      <c r="B2" s="13" t="s">
        <v>8</v>
      </c>
      <c r="C2" s="14" t="str">
        <f>VLOOKUP(B2,producttype_info!$A$1:$B$14,2,FALSE)</f>
        <v>Coffee</v>
      </c>
      <c r="D2" s="12" t="s">
        <v>9</v>
      </c>
      <c r="E2" s="12" t="s">
        <v>10</v>
      </c>
      <c r="F2" s="11">
        <v>110</v>
      </c>
      <c r="G2" s="11">
        <v>101</v>
      </c>
      <c r="H2" s="11">
        <v>234</v>
      </c>
    </row>
    <row r="3" spans="1:8" ht="19.95" customHeight="1" thickBot="1" x14ac:dyDescent="0.45">
      <c r="A3" s="11">
        <v>309</v>
      </c>
      <c r="B3" s="13" t="s">
        <v>8</v>
      </c>
      <c r="C3" s="14" t="str">
        <f>VLOOKUP(B3,producttype_info!$A$1:$B$14,2,FALSE)</f>
        <v>Coffee</v>
      </c>
      <c r="D3" s="12" t="s">
        <v>11</v>
      </c>
      <c r="E3" s="12" t="s">
        <v>10</v>
      </c>
      <c r="F3" s="11">
        <v>100</v>
      </c>
      <c r="G3" s="11">
        <v>87</v>
      </c>
      <c r="H3" s="11">
        <v>234</v>
      </c>
    </row>
    <row r="4" spans="1:8" ht="19.95" customHeight="1" thickBot="1" x14ac:dyDescent="0.45">
      <c r="A4" s="11">
        <v>614</v>
      </c>
      <c r="B4" s="13" t="s">
        <v>8</v>
      </c>
      <c r="C4" s="14" t="str">
        <f>VLOOKUP(B4,producttype_info!$A$1:$B$14,2,FALSE)</f>
        <v>Coffee</v>
      </c>
      <c r="D4" s="12" t="s">
        <v>12</v>
      </c>
      <c r="E4" s="12" t="s">
        <v>10</v>
      </c>
      <c r="F4" s="11">
        <v>20</v>
      </c>
      <c r="G4" s="11">
        <v>0</v>
      </c>
      <c r="H4" s="11">
        <v>150</v>
      </c>
    </row>
    <row r="5" spans="1:8" ht="19.95" customHeight="1" thickBot="1" x14ac:dyDescent="0.45">
      <c r="A5" s="11">
        <v>754</v>
      </c>
      <c r="B5" s="13" t="s">
        <v>8</v>
      </c>
      <c r="C5" s="14" t="str">
        <f>VLOOKUP(B5,producttype_info!$A$1:$B$14,2,FALSE)</f>
        <v>Coffee</v>
      </c>
      <c r="D5" s="12" t="s">
        <v>13</v>
      </c>
      <c r="E5" s="12" t="s">
        <v>14</v>
      </c>
      <c r="F5" s="11">
        <v>70</v>
      </c>
      <c r="G5" s="11">
        <v>67</v>
      </c>
      <c r="H5" s="11">
        <v>200</v>
      </c>
    </row>
    <row r="6" spans="1:8" ht="19.95" customHeight="1" thickBot="1" x14ac:dyDescent="0.45">
      <c r="A6" s="11">
        <v>325</v>
      </c>
      <c r="B6" s="13" t="s">
        <v>8</v>
      </c>
      <c r="C6" s="14" t="str">
        <f>VLOOKUP(B6,producttype_info!$A$1:$B$14,2,FALSE)</f>
        <v>Coffee</v>
      </c>
      <c r="D6" s="12" t="s">
        <v>15</v>
      </c>
      <c r="E6" s="12" t="s">
        <v>16</v>
      </c>
      <c r="F6" s="11">
        <v>100</v>
      </c>
      <c r="G6" s="11">
        <v>68</v>
      </c>
      <c r="H6" s="11">
        <v>190</v>
      </c>
    </row>
    <row r="7" spans="1:8" ht="19.95" customHeight="1" thickBot="1" x14ac:dyDescent="0.45">
      <c r="A7" s="11">
        <v>650</v>
      </c>
      <c r="B7" s="13" t="s">
        <v>8</v>
      </c>
      <c r="C7" s="14" t="str">
        <f>VLOOKUP(B7,producttype_info!$A$1:$B$14,2,FALSE)</f>
        <v>Coffee</v>
      </c>
      <c r="D7" s="12" t="s">
        <v>17</v>
      </c>
      <c r="E7" s="12" t="s">
        <v>18</v>
      </c>
      <c r="F7" s="11">
        <v>120</v>
      </c>
      <c r="G7" s="11">
        <v>117</v>
      </c>
      <c r="H7" s="11">
        <v>118</v>
      </c>
    </row>
    <row r="8" spans="1:8" ht="19.95" customHeight="1" thickBot="1" x14ac:dyDescent="0.45">
      <c r="A8" s="11">
        <v>720</v>
      </c>
      <c r="B8" s="10" t="s">
        <v>19</v>
      </c>
      <c r="C8" s="14" t="str">
        <f>VLOOKUP(B8,producttype_info!$A$1:$B$14,2,FALSE)</f>
        <v>Espresso</v>
      </c>
      <c r="D8" s="12" t="s">
        <v>9</v>
      </c>
      <c r="E8" s="12" t="s">
        <v>10</v>
      </c>
      <c r="F8" s="11">
        <v>80</v>
      </c>
      <c r="G8" s="11">
        <v>53</v>
      </c>
      <c r="H8" s="11">
        <v>180</v>
      </c>
    </row>
    <row r="9" spans="1:8" ht="19.95" customHeight="1" thickBot="1" x14ac:dyDescent="0.45">
      <c r="A9" s="11">
        <v>630</v>
      </c>
      <c r="B9" s="10" t="s">
        <v>19</v>
      </c>
      <c r="C9" s="14" t="str">
        <f>VLOOKUP(B9,producttype_info!$A$1:$B$14,2,FALSE)</f>
        <v>Espresso</v>
      </c>
      <c r="D9" s="12" t="s">
        <v>11</v>
      </c>
      <c r="E9" s="12" t="s">
        <v>10</v>
      </c>
      <c r="F9" s="11">
        <v>180</v>
      </c>
      <c r="G9" s="11">
        <v>140</v>
      </c>
      <c r="H9" s="11">
        <v>456</v>
      </c>
    </row>
    <row r="10" spans="1:8" ht="19.95" customHeight="1" thickBot="1" x14ac:dyDescent="0.45">
      <c r="A10" s="11">
        <v>614</v>
      </c>
      <c r="B10" s="10" t="s">
        <v>19</v>
      </c>
      <c r="C10" s="14" t="str">
        <f>VLOOKUP(B10,producttype_info!$A$1:$B$14,2,FALSE)</f>
        <v>Espresso</v>
      </c>
      <c r="D10" s="12" t="s">
        <v>12</v>
      </c>
      <c r="E10" s="12" t="s">
        <v>10</v>
      </c>
      <c r="F10" s="11">
        <v>40</v>
      </c>
      <c r="G10" s="11">
        <v>16</v>
      </c>
      <c r="H10" s="11">
        <v>130</v>
      </c>
    </row>
    <row r="11" spans="1:8" ht="19.95" customHeight="1" thickBot="1" x14ac:dyDescent="0.45">
      <c r="A11" s="11">
        <v>754</v>
      </c>
      <c r="B11" s="10" t="s">
        <v>19</v>
      </c>
      <c r="C11" s="14" t="str">
        <f>VLOOKUP(B11,producttype_info!$A$1:$B$14,2,FALSE)</f>
        <v>Espresso</v>
      </c>
      <c r="D11" s="12" t="s">
        <v>13</v>
      </c>
      <c r="E11" s="12" t="s">
        <v>14</v>
      </c>
      <c r="F11" s="11">
        <v>60</v>
      </c>
      <c r="G11" s="11">
        <v>50</v>
      </c>
      <c r="H11" s="11">
        <v>180</v>
      </c>
    </row>
    <row r="12" spans="1:8" ht="19.95" customHeight="1" thickBot="1" x14ac:dyDescent="0.45">
      <c r="A12" s="11">
        <v>956</v>
      </c>
      <c r="B12" s="10" t="s">
        <v>19</v>
      </c>
      <c r="C12" s="14" t="str">
        <f>VLOOKUP(B12,producttype_info!$A$1:$B$14,2,FALSE)</f>
        <v>Espresso</v>
      </c>
      <c r="D12" s="12" t="s">
        <v>15</v>
      </c>
      <c r="E12" s="12" t="s">
        <v>16</v>
      </c>
      <c r="F12" s="11">
        <v>60</v>
      </c>
      <c r="G12" s="11">
        <v>54</v>
      </c>
      <c r="H12" s="11">
        <v>134</v>
      </c>
    </row>
    <row r="13" spans="1:8" ht="19.95" customHeight="1" thickBot="1" x14ac:dyDescent="0.45">
      <c r="A13" s="11">
        <v>213</v>
      </c>
      <c r="B13" s="10" t="s">
        <v>19</v>
      </c>
      <c r="C13" s="14" t="str">
        <f>VLOOKUP(B13,producttype_info!$A$1:$B$14,2,FALSE)</f>
        <v>Espresso</v>
      </c>
      <c r="D13" s="12" t="s">
        <v>17</v>
      </c>
      <c r="E13" s="12" t="s">
        <v>18</v>
      </c>
      <c r="F13" s="11">
        <v>200</v>
      </c>
      <c r="G13" s="11">
        <v>203</v>
      </c>
      <c r="H13" s="11">
        <v>546</v>
      </c>
    </row>
    <row r="14" spans="1:8" ht="19.95" customHeight="1" thickBot="1" x14ac:dyDescent="0.45">
      <c r="A14" s="11">
        <v>719</v>
      </c>
      <c r="B14" s="12" t="s">
        <v>20</v>
      </c>
      <c r="C14" s="14" t="str">
        <f>VLOOKUP(B14,producttype_info!$A$1:$B$14,2,FALSE)</f>
        <v>Coffee</v>
      </c>
      <c r="D14" s="12" t="s">
        <v>9</v>
      </c>
      <c r="E14" s="12" t="s">
        <v>10</v>
      </c>
      <c r="F14" s="11">
        <v>100</v>
      </c>
      <c r="G14" s="11">
        <v>94</v>
      </c>
      <c r="H14" s="11">
        <v>219</v>
      </c>
    </row>
    <row r="15" spans="1:8" ht="19.95" customHeight="1" thickBot="1" x14ac:dyDescent="0.45">
      <c r="A15" s="11">
        <v>740</v>
      </c>
      <c r="B15" s="12" t="s">
        <v>20</v>
      </c>
      <c r="C15" s="14" t="str">
        <f>VLOOKUP(B15,producttype_info!$A$1:$B$14,2,FALSE)</f>
        <v>Coffee</v>
      </c>
      <c r="D15" s="12" t="s">
        <v>12</v>
      </c>
      <c r="E15" s="12" t="s">
        <v>10</v>
      </c>
      <c r="F15" s="11">
        <v>50</v>
      </c>
      <c r="G15" s="11">
        <v>34</v>
      </c>
      <c r="H15" s="11">
        <v>140</v>
      </c>
    </row>
    <row r="16" spans="1:8" ht="19.95" customHeight="1" thickBot="1" x14ac:dyDescent="0.45">
      <c r="A16" s="11">
        <v>970</v>
      </c>
      <c r="B16" s="12" t="s">
        <v>21</v>
      </c>
      <c r="C16" s="14" t="str">
        <f>VLOOKUP(B16,producttype_info!$A$1:$B$14,2,FALSE)</f>
        <v>Coffee</v>
      </c>
      <c r="D16" s="12" t="s">
        <v>9</v>
      </c>
      <c r="E16" s="12" t="s">
        <v>10</v>
      </c>
      <c r="F16" s="11">
        <v>80</v>
      </c>
      <c r="G16" s="11">
        <v>68</v>
      </c>
      <c r="H16" s="11">
        <v>190</v>
      </c>
    </row>
    <row r="17" spans="1:8" ht="19.95" customHeight="1" thickBot="1" x14ac:dyDescent="0.45">
      <c r="A17" s="11">
        <v>217</v>
      </c>
      <c r="B17" s="12" t="s">
        <v>21</v>
      </c>
      <c r="C17" s="14" t="str">
        <f>VLOOKUP(B17,producttype_info!$A$1:$B$14,2,FALSE)</f>
        <v>Coffee</v>
      </c>
      <c r="D17" s="12" t="s">
        <v>11</v>
      </c>
      <c r="E17" s="12" t="s">
        <v>10</v>
      </c>
      <c r="F17" s="11">
        <v>130</v>
      </c>
      <c r="G17" s="11">
        <v>111</v>
      </c>
      <c r="H17" s="11">
        <v>345</v>
      </c>
    </row>
    <row r="18" spans="1:8" ht="19.95" customHeight="1" thickBot="1" x14ac:dyDescent="0.45">
      <c r="A18" s="11">
        <v>614</v>
      </c>
      <c r="B18" s="12" t="s">
        <v>21</v>
      </c>
      <c r="C18" s="14" t="str">
        <f>VLOOKUP(B18,producttype_info!$A$1:$B$14,2,FALSE)</f>
        <v>Coffee</v>
      </c>
      <c r="D18" s="12" t="s">
        <v>12</v>
      </c>
      <c r="E18" s="12" t="s">
        <v>10</v>
      </c>
      <c r="F18" s="11">
        <v>50</v>
      </c>
      <c r="G18" s="11">
        <v>42</v>
      </c>
      <c r="H18" s="11">
        <v>140</v>
      </c>
    </row>
    <row r="19" spans="1:8" ht="19.95" customHeight="1" thickBot="1" x14ac:dyDescent="0.45">
      <c r="A19" s="11">
        <v>954</v>
      </c>
      <c r="B19" s="12" t="s">
        <v>21</v>
      </c>
      <c r="C19" s="14" t="str">
        <f>VLOOKUP(B19,producttype_info!$A$1:$B$14,2,FALSE)</f>
        <v>Coffee</v>
      </c>
      <c r="D19" s="12" t="s">
        <v>13</v>
      </c>
      <c r="E19" s="12" t="s">
        <v>14</v>
      </c>
      <c r="F19" s="11">
        <v>70</v>
      </c>
      <c r="G19" s="11">
        <v>68</v>
      </c>
      <c r="H19" s="11">
        <v>210</v>
      </c>
    </row>
    <row r="20" spans="1:8" ht="19.95" customHeight="1" thickBot="1" x14ac:dyDescent="0.45">
      <c r="A20" s="11">
        <v>413</v>
      </c>
      <c r="B20" s="12" t="s">
        <v>21</v>
      </c>
      <c r="C20" s="14" t="str">
        <f>VLOOKUP(B20,producttype_info!$A$1:$B$14,2,FALSE)</f>
        <v>Coffee</v>
      </c>
      <c r="D20" s="12" t="s">
        <v>22</v>
      </c>
      <c r="E20" s="12" t="s">
        <v>14</v>
      </c>
      <c r="F20" s="11">
        <v>360</v>
      </c>
      <c r="G20" s="11">
        <v>367</v>
      </c>
      <c r="H20" s="11">
        <v>494</v>
      </c>
    </row>
    <row r="21" spans="1:8" ht="19.95" customHeight="1" thickBot="1" x14ac:dyDescent="0.45">
      <c r="A21" s="11">
        <v>716</v>
      </c>
      <c r="B21" s="12" t="s">
        <v>21</v>
      </c>
      <c r="C21" s="14" t="str">
        <f>VLOOKUP(B21,producttype_info!$A$1:$B$14,2,FALSE)</f>
        <v>Coffee</v>
      </c>
      <c r="D21" s="12" t="s">
        <v>23</v>
      </c>
      <c r="E21" s="12" t="s">
        <v>14</v>
      </c>
      <c r="F21" s="11">
        <v>260</v>
      </c>
      <c r="G21" s="11">
        <v>262</v>
      </c>
      <c r="H21" s="11">
        <v>678</v>
      </c>
    </row>
    <row r="22" spans="1:8" ht="19.95" customHeight="1" thickBot="1" x14ac:dyDescent="0.45">
      <c r="A22" s="11">
        <v>409</v>
      </c>
      <c r="B22" s="12" t="s">
        <v>21</v>
      </c>
      <c r="C22" s="14" t="str">
        <f>VLOOKUP(B22,producttype_info!$A$1:$B$14,2,FALSE)</f>
        <v>Coffee</v>
      </c>
      <c r="D22" s="12" t="s">
        <v>15</v>
      </c>
      <c r="E22" s="12" t="s">
        <v>16</v>
      </c>
      <c r="F22" s="11">
        <v>220</v>
      </c>
      <c r="G22" s="11">
        <v>159</v>
      </c>
      <c r="H22" s="11">
        <v>452</v>
      </c>
    </row>
    <row r="23" spans="1:8" ht="19.95" customHeight="1" thickBot="1" x14ac:dyDescent="0.45">
      <c r="A23" s="11">
        <v>916</v>
      </c>
      <c r="B23" s="12" t="s">
        <v>20</v>
      </c>
      <c r="C23" s="14" t="str">
        <f>VLOOKUP(B23,producttype_info!$A$1:$B$14,2,FALSE)</f>
        <v>Coffee</v>
      </c>
      <c r="D23" s="12" t="s">
        <v>17</v>
      </c>
      <c r="E23" s="12" t="s">
        <v>18</v>
      </c>
      <c r="F23" s="11">
        <v>30</v>
      </c>
      <c r="G23" s="11">
        <v>2</v>
      </c>
      <c r="H23" s="11">
        <v>145</v>
      </c>
    </row>
    <row r="24" spans="1:8" ht="19.95" customHeight="1" thickBot="1" x14ac:dyDescent="0.45">
      <c r="A24" s="11">
        <v>559</v>
      </c>
      <c r="B24" s="12" t="s">
        <v>21</v>
      </c>
      <c r="C24" s="14" t="str">
        <f>VLOOKUP(B24,producttype_info!$A$1:$B$14,2,FALSE)</f>
        <v>Coffee</v>
      </c>
      <c r="D24" s="12" t="s">
        <v>17</v>
      </c>
      <c r="E24" s="12" t="s">
        <v>18</v>
      </c>
      <c r="F24" s="11">
        <v>370</v>
      </c>
      <c r="G24" s="11">
        <v>262</v>
      </c>
      <c r="H24" s="11">
        <v>678</v>
      </c>
    </row>
    <row r="25" spans="1:8" ht="19.95" customHeight="1" thickBot="1" x14ac:dyDescent="0.45">
      <c r="A25" s="11">
        <v>303</v>
      </c>
      <c r="B25" s="10" t="s">
        <v>24</v>
      </c>
      <c r="C25" s="14" t="str">
        <f>VLOOKUP(B25,producttype_info!$A$1:$B$14,2,FALSE)</f>
        <v>Espresso</v>
      </c>
      <c r="D25" s="12" t="s">
        <v>9</v>
      </c>
      <c r="E25" s="12" t="s">
        <v>10</v>
      </c>
      <c r="F25" s="11">
        <v>70</v>
      </c>
      <c r="G25" s="11">
        <v>54</v>
      </c>
      <c r="H25" s="11">
        <v>134</v>
      </c>
    </row>
    <row r="26" spans="1:8" ht="19.95" customHeight="1" thickBot="1" x14ac:dyDescent="0.45">
      <c r="A26" s="11">
        <v>309</v>
      </c>
      <c r="B26" s="10" t="s">
        <v>24</v>
      </c>
      <c r="C26" s="14" t="str">
        <f>VLOOKUP(B26,producttype_info!$A$1:$B$14,2,FALSE)</f>
        <v>Espresso</v>
      </c>
      <c r="D26" s="12" t="s">
        <v>11</v>
      </c>
      <c r="E26" s="12" t="s">
        <v>10</v>
      </c>
      <c r="F26" s="11">
        <v>260</v>
      </c>
      <c r="G26" s="11">
        <v>203</v>
      </c>
      <c r="H26" s="11">
        <v>546</v>
      </c>
    </row>
    <row r="27" spans="1:8" ht="19.95" customHeight="1" thickBot="1" x14ac:dyDescent="0.45">
      <c r="A27" s="11">
        <v>614</v>
      </c>
      <c r="B27" s="10" t="s">
        <v>24</v>
      </c>
      <c r="C27" s="14" t="str">
        <f>VLOOKUP(B27,producttype_info!$A$1:$B$14,2,FALSE)</f>
        <v>Espresso</v>
      </c>
      <c r="D27" s="12" t="s">
        <v>12</v>
      </c>
      <c r="E27" s="12" t="s">
        <v>10</v>
      </c>
      <c r="F27" s="11">
        <v>140</v>
      </c>
      <c r="G27" s="11">
        <v>99</v>
      </c>
      <c r="H27" s="11">
        <v>341</v>
      </c>
    </row>
    <row r="28" spans="1:8" ht="19.95" customHeight="1" thickBot="1" x14ac:dyDescent="0.45">
      <c r="A28" s="11">
        <v>239</v>
      </c>
      <c r="B28" s="10" t="s">
        <v>24</v>
      </c>
      <c r="C28" s="14" t="str">
        <f>VLOOKUP(B28,producttype_info!$A$1:$B$14,2,FALSE)</f>
        <v>Espresso</v>
      </c>
      <c r="D28" s="12" t="s">
        <v>13</v>
      </c>
      <c r="E28" s="12" t="s">
        <v>14</v>
      </c>
      <c r="F28" s="11">
        <v>30</v>
      </c>
      <c r="G28" s="11">
        <v>9</v>
      </c>
      <c r="H28" s="11">
        <v>190</v>
      </c>
    </row>
    <row r="29" spans="1:8" ht="19.95" customHeight="1" thickBot="1" x14ac:dyDescent="0.45">
      <c r="A29" s="11">
        <v>781</v>
      </c>
      <c r="B29" s="10" t="s">
        <v>24</v>
      </c>
      <c r="C29" s="14" t="str">
        <f>VLOOKUP(B29,producttype_info!$A$1:$B$14,2,FALSE)</f>
        <v>Espresso</v>
      </c>
      <c r="D29" s="12" t="s">
        <v>22</v>
      </c>
      <c r="E29" s="12" t="s">
        <v>14</v>
      </c>
      <c r="F29" s="11">
        <v>10</v>
      </c>
      <c r="G29" s="11">
        <v>23</v>
      </c>
      <c r="H29" s="11">
        <v>126</v>
      </c>
    </row>
    <row r="30" spans="1:8" ht="19.95" customHeight="1" thickBot="1" x14ac:dyDescent="0.45">
      <c r="A30" s="11">
        <v>315</v>
      </c>
      <c r="B30" s="10" t="s">
        <v>24</v>
      </c>
      <c r="C30" s="14" t="str">
        <f>VLOOKUP(B30,producttype_info!$A$1:$B$14,2,FALSE)</f>
        <v>Espresso</v>
      </c>
      <c r="D30" s="12" t="s">
        <v>23</v>
      </c>
      <c r="E30" s="12" t="s">
        <v>14</v>
      </c>
      <c r="F30" s="11">
        <v>170</v>
      </c>
      <c r="G30" s="11">
        <v>172</v>
      </c>
      <c r="H30" s="11">
        <v>61</v>
      </c>
    </row>
    <row r="31" spans="1:8" ht="19.95" customHeight="1" thickBot="1" x14ac:dyDescent="0.45">
      <c r="A31" s="11">
        <v>978</v>
      </c>
      <c r="B31" s="13" t="s">
        <v>25</v>
      </c>
      <c r="C31" s="14" t="str">
        <f>VLOOKUP(B31,producttype_info!$A$1:$B$14,2,FALSE)</f>
        <v>Espresso</v>
      </c>
      <c r="D31" s="12" t="s">
        <v>22</v>
      </c>
      <c r="E31" s="12" t="s">
        <v>14</v>
      </c>
      <c r="F31" s="11">
        <v>110</v>
      </c>
      <c r="G31" s="11">
        <v>100</v>
      </c>
      <c r="H31" s="11">
        <v>341</v>
      </c>
    </row>
    <row r="32" spans="1:8" ht="19.95" customHeight="1" thickBot="1" x14ac:dyDescent="0.45">
      <c r="A32" s="11">
        <v>631</v>
      </c>
      <c r="B32" s="13" t="s">
        <v>25</v>
      </c>
      <c r="C32" s="14" t="str">
        <f>VLOOKUP(B32,producttype_info!$A$1:$B$14,2,FALSE)</f>
        <v>Espresso</v>
      </c>
      <c r="D32" s="12" t="s">
        <v>23</v>
      </c>
      <c r="E32" s="12" t="s">
        <v>14</v>
      </c>
      <c r="F32" s="11">
        <v>200</v>
      </c>
      <c r="G32" s="11">
        <v>175</v>
      </c>
      <c r="H32" s="11">
        <v>490</v>
      </c>
    </row>
    <row r="33" spans="1:8" ht="19.95" customHeight="1" thickBot="1" x14ac:dyDescent="0.45">
      <c r="A33" s="11">
        <v>830</v>
      </c>
      <c r="B33" s="12" t="s">
        <v>26</v>
      </c>
      <c r="C33" s="14" t="str">
        <f>VLOOKUP(B33,producttype_info!$A$1:$B$14,2,FALSE)</f>
        <v>Espresso</v>
      </c>
      <c r="D33" s="12" t="s">
        <v>15</v>
      </c>
      <c r="E33" s="12" t="s">
        <v>16</v>
      </c>
      <c r="F33" s="11">
        <v>50</v>
      </c>
      <c r="G33" s="11">
        <v>53</v>
      </c>
      <c r="H33" s="11">
        <v>180</v>
      </c>
    </row>
    <row r="34" spans="1:8" ht="19.95" customHeight="1" thickBot="1" x14ac:dyDescent="0.45">
      <c r="A34" s="11">
        <v>325</v>
      </c>
      <c r="B34" s="10" t="s">
        <v>24</v>
      </c>
      <c r="C34" s="14" t="str">
        <f>VLOOKUP(B34,producttype_info!$A$1:$B$14,2,FALSE)</f>
        <v>Espresso</v>
      </c>
      <c r="D34" s="12" t="s">
        <v>15</v>
      </c>
      <c r="E34" s="12" t="s">
        <v>16</v>
      </c>
      <c r="F34" s="11">
        <v>90</v>
      </c>
      <c r="G34" s="11">
        <v>95</v>
      </c>
      <c r="H34" s="11">
        <v>219</v>
      </c>
    </row>
    <row r="35" spans="1:8" ht="19.95" customHeight="1" thickBot="1" x14ac:dyDescent="0.45">
      <c r="A35" s="11">
        <v>661</v>
      </c>
      <c r="B35" s="12" t="s">
        <v>26</v>
      </c>
      <c r="C35" s="14" t="str">
        <f>VLOOKUP(B35,producttype_info!$A$1:$B$14,2,FALSE)</f>
        <v>Espresso</v>
      </c>
      <c r="D35" s="12" t="s">
        <v>17</v>
      </c>
      <c r="E35" s="12" t="s">
        <v>18</v>
      </c>
      <c r="F35" s="11">
        <v>150</v>
      </c>
      <c r="G35" s="11">
        <v>140</v>
      </c>
      <c r="H35" s="11">
        <v>456</v>
      </c>
    </row>
    <row r="36" spans="1:8" ht="19.95" customHeight="1" thickBot="1" x14ac:dyDescent="0.45">
      <c r="A36" s="11">
        <v>818</v>
      </c>
      <c r="B36" s="10" t="s">
        <v>24</v>
      </c>
      <c r="C36" s="14" t="str">
        <f>VLOOKUP(B36,producttype_info!$A$1:$B$14,2,FALSE)</f>
        <v>Espresso</v>
      </c>
      <c r="D36" s="12" t="s">
        <v>17</v>
      </c>
      <c r="E36" s="12" t="s">
        <v>18</v>
      </c>
      <c r="F36" s="11">
        <v>20</v>
      </c>
      <c r="G36" s="11">
        <v>17</v>
      </c>
      <c r="H36" s="11">
        <v>250</v>
      </c>
    </row>
    <row r="37" spans="1:8" ht="19.95" customHeight="1" thickBot="1" x14ac:dyDescent="0.45">
      <c r="A37" s="11">
        <v>712</v>
      </c>
      <c r="B37" s="13" t="s">
        <v>8</v>
      </c>
      <c r="C37" s="14" t="str">
        <f>VLOOKUP(B37,producttype_info!$A$1:$B$14,2,FALSE)</f>
        <v>Coffee</v>
      </c>
      <c r="D37" s="12" t="s">
        <v>27</v>
      </c>
      <c r="E37" s="12" t="s">
        <v>10</v>
      </c>
      <c r="F37" s="11">
        <v>20</v>
      </c>
      <c r="G37" s="11">
        <v>12</v>
      </c>
      <c r="H37" s="11">
        <v>54</v>
      </c>
    </row>
    <row r="38" spans="1:8" ht="19.95" customHeight="1" thickBot="1" x14ac:dyDescent="0.45">
      <c r="A38" s="11">
        <v>573</v>
      </c>
      <c r="B38" s="13" t="s">
        <v>8</v>
      </c>
      <c r="C38" s="14" t="str">
        <f>VLOOKUP(B38,producttype_info!$A$1:$B$14,2,FALSE)</f>
        <v>Coffee</v>
      </c>
      <c r="D38" s="12" t="s">
        <v>28</v>
      </c>
      <c r="E38" s="12" t="s">
        <v>10</v>
      </c>
      <c r="F38" s="11">
        <v>50</v>
      </c>
      <c r="G38" s="11">
        <v>47</v>
      </c>
      <c r="H38" s="11">
        <v>170</v>
      </c>
    </row>
    <row r="39" spans="1:8" ht="19.95" customHeight="1" thickBot="1" x14ac:dyDescent="0.45">
      <c r="A39" s="11">
        <v>414</v>
      </c>
      <c r="B39" s="13" t="s">
        <v>8</v>
      </c>
      <c r="C39" s="14" t="str">
        <f>VLOOKUP(B39,producttype_info!$A$1:$B$14,2,FALSE)</f>
        <v>Coffee</v>
      </c>
      <c r="D39" s="12" t="s">
        <v>29</v>
      </c>
      <c r="E39" s="12" t="s">
        <v>10</v>
      </c>
      <c r="F39" s="11">
        <v>60</v>
      </c>
      <c r="G39" s="11">
        <v>51</v>
      </c>
      <c r="H39" s="11">
        <v>180</v>
      </c>
    </row>
    <row r="40" spans="1:8" ht="19.95" customHeight="1" thickBot="1" x14ac:dyDescent="0.45">
      <c r="A40" s="11">
        <v>985</v>
      </c>
      <c r="B40" s="13" t="s">
        <v>8</v>
      </c>
      <c r="C40" s="14" t="str">
        <f>VLOOKUP(B40,producttype_info!$A$1:$B$14,2,FALSE)</f>
        <v>Coffee</v>
      </c>
      <c r="D40" s="12" t="s">
        <v>30</v>
      </c>
      <c r="E40" s="12" t="s">
        <v>16</v>
      </c>
      <c r="F40" s="11">
        <v>50</v>
      </c>
      <c r="G40" s="11">
        <v>28</v>
      </c>
      <c r="H40" s="11">
        <v>81</v>
      </c>
    </row>
    <row r="41" spans="1:8" ht="19.95" customHeight="1" thickBot="1" x14ac:dyDescent="0.45">
      <c r="A41" s="11">
        <v>505</v>
      </c>
      <c r="B41" s="13" t="s">
        <v>8</v>
      </c>
      <c r="C41" s="14" t="str">
        <f>VLOOKUP(B41,producttype_info!$A$1:$B$14,2,FALSE)</f>
        <v>Coffee</v>
      </c>
      <c r="D41" s="12" t="s">
        <v>31</v>
      </c>
      <c r="E41" s="12" t="s">
        <v>16</v>
      </c>
      <c r="F41" s="11">
        <v>30</v>
      </c>
      <c r="G41" s="11">
        <v>39</v>
      </c>
      <c r="H41" s="11">
        <v>99</v>
      </c>
    </row>
    <row r="42" spans="1:8" ht="19.95" customHeight="1" thickBot="1" x14ac:dyDescent="0.45">
      <c r="A42" s="11">
        <v>580</v>
      </c>
      <c r="B42" s="13" t="s">
        <v>8</v>
      </c>
      <c r="C42" s="14" t="str">
        <f>VLOOKUP(B42,producttype_info!$A$1:$B$14,2,FALSE)</f>
        <v>Coffee</v>
      </c>
      <c r="D42" s="12" t="s">
        <v>32</v>
      </c>
      <c r="E42" s="12" t="s">
        <v>16</v>
      </c>
      <c r="F42" s="11">
        <v>50</v>
      </c>
      <c r="G42" s="11">
        <v>28</v>
      </c>
      <c r="H42" s="11">
        <v>80</v>
      </c>
    </row>
    <row r="43" spans="1:8" ht="19.95" customHeight="1" thickBot="1" x14ac:dyDescent="0.45">
      <c r="A43" s="11">
        <v>775</v>
      </c>
      <c r="B43" s="13" t="s">
        <v>8</v>
      </c>
      <c r="C43" s="14" t="str">
        <f>VLOOKUP(B43,producttype_info!$A$1:$B$14,2,FALSE)</f>
        <v>Coffee</v>
      </c>
      <c r="D43" s="12" t="s">
        <v>33</v>
      </c>
      <c r="E43" s="12" t="s">
        <v>18</v>
      </c>
      <c r="F43" s="11">
        <v>20</v>
      </c>
      <c r="G43" s="11">
        <v>4</v>
      </c>
      <c r="H43" s="11">
        <v>62</v>
      </c>
    </row>
    <row r="44" spans="1:8" ht="19.95" customHeight="1" thickBot="1" x14ac:dyDescent="0.45">
      <c r="A44" s="11">
        <v>971</v>
      </c>
      <c r="B44" s="13" t="s">
        <v>8</v>
      </c>
      <c r="C44" s="14" t="str">
        <f>VLOOKUP(B44,producttype_info!$A$1:$B$14,2,FALSE)</f>
        <v>Coffee</v>
      </c>
      <c r="D44" s="12" t="s">
        <v>34</v>
      </c>
      <c r="E44" s="12" t="s">
        <v>18</v>
      </c>
      <c r="F44" s="11">
        <v>70</v>
      </c>
      <c r="G44" s="11">
        <v>42</v>
      </c>
      <c r="H44" s="11">
        <v>140</v>
      </c>
    </row>
    <row r="45" spans="1:8" ht="19.95" customHeight="1" thickBot="1" x14ac:dyDescent="0.45">
      <c r="A45" s="11">
        <v>801</v>
      </c>
      <c r="B45" s="13" t="s">
        <v>8</v>
      </c>
      <c r="C45" s="14" t="str">
        <f>VLOOKUP(B45,producttype_info!$A$1:$B$14,2,FALSE)</f>
        <v>Coffee</v>
      </c>
      <c r="D45" s="12" t="s">
        <v>35</v>
      </c>
      <c r="E45" s="12" t="s">
        <v>18</v>
      </c>
      <c r="F45" s="11">
        <v>70</v>
      </c>
      <c r="G45" s="11">
        <v>39</v>
      </c>
      <c r="H45" s="11">
        <v>190</v>
      </c>
    </row>
    <row r="46" spans="1:8" ht="19.95" customHeight="1" thickBot="1" x14ac:dyDescent="0.45">
      <c r="A46" s="11">
        <v>509</v>
      </c>
      <c r="B46" s="13" t="s">
        <v>8</v>
      </c>
      <c r="C46" s="14" t="str">
        <f>VLOOKUP(B46,producttype_info!$A$1:$B$14,2,FALSE)</f>
        <v>Coffee</v>
      </c>
      <c r="D46" s="12" t="s">
        <v>36</v>
      </c>
      <c r="E46" s="12" t="s">
        <v>18</v>
      </c>
      <c r="F46" s="11">
        <v>60</v>
      </c>
      <c r="G46" s="11">
        <v>9</v>
      </c>
      <c r="H46" s="11">
        <v>190</v>
      </c>
    </row>
    <row r="47" spans="1:8" ht="19.95" customHeight="1" thickBot="1" x14ac:dyDescent="0.45">
      <c r="A47" s="11">
        <v>563</v>
      </c>
      <c r="B47" s="10" t="s">
        <v>19</v>
      </c>
      <c r="C47" s="14" t="str">
        <f>VLOOKUP(B47,producttype_info!$A$1:$B$14,2,FALSE)</f>
        <v>Espresso</v>
      </c>
      <c r="D47" s="12" t="s">
        <v>27</v>
      </c>
      <c r="E47" s="12" t="s">
        <v>10</v>
      </c>
      <c r="F47" s="11">
        <v>30</v>
      </c>
      <c r="G47" s="11">
        <v>10</v>
      </c>
      <c r="H47" s="11">
        <v>43</v>
      </c>
    </row>
    <row r="48" spans="1:8" ht="19.95" customHeight="1" thickBot="1" x14ac:dyDescent="0.45">
      <c r="A48" s="11">
        <v>660</v>
      </c>
      <c r="B48" s="10" t="s">
        <v>19</v>
      </c>
      <c r="C48" s="14" t="str">
        <f>VLOOKUP(B48,producttype_info!$A$1:$B$14,2,FALSE)</f>
        <v>Espresso</v>
      </c>
      <c r="D48" s="12" t="s">
        <v>28</v>
      </c>
      <c r="E48" s="12" t="s">
        <v>10</v>
      </c>
      <c r="F48" s="11">
        <v>60</v>
      </c>
      <c r="G48" s="11">
        <v>45</v>
      </c>
      <c r="H48" s="11">
        <v>114</v>
      </c>
    </row>
    <row r="49" spans="1:8" ht="19.95" customHeight="1" thickBot="1" x14ac:dyDescent="0.45">
      <c r="A49" s="11">
        <v>262</v>
      </c>
      <c r="B49" s="10" t="s">
        <v>19</v>
      </c>
      <c r="C49" s="14" t="str">
        <f>VLOOKUP(B49,producttype_info!$A$1:$B$14,2,FALSE)</f>
        <v>Espresso</v>
      </c>
      <c r="D49" s="12" t="s">
        <v>29</v>
      </c>
      <c r="E49" s="12" t="s">
        <v>10</v>
      </c>
      <c r="F49" s="11">
        <v>50</v>
      </c>
      <c r="G49" s="11">
        <v>34</v>
      </c>
      <c r="H49" s="11">
        <v>110</v>
      </c>
    </row>
    <row r="50" spans="1:8" ht="19.95" customHeight="1" thickBot="1" x14ac:dyDescent="0.45">
      <c r="A50" s="11">
        <v>475</v>
      </c>
      <c r="B50" s="10" t="s">
        <v>19</v>
      </c>
      <c r="C50" s="14" t="str">
        <f>VLOOKUP(B50,producttype_info!$A$1:$B$14,2,FALSE)</f>
        <v>Espresso</v>
      </c>
      <c r="D50" s="12" t="s">
        <v>37</v>
      </c>
      <c r="E50" s="12" t="s">
        <v>14</v>
      </c>
      <c r="F50" s="11">
        <v>40</v>
      </c>
      <c r="G50" s="11">
        <v>30</v>
      </c>
      <c r="H50" s="11">
        <v>130</v>
      </c>
    </row>
    <row r="51" spans="1:8" ht="19.95" customHeight="1" thickBot="1" x14ac:dyDescent="0.45">
      <c r="A51" s="11">
        <v>337</v>
      </c>
      <c r="B51" s="10" t="s">
        <v>19</v>
      </c>
      <c r="C51" s="14" t="str">
        <f>VLOOKUP(B51,producttype_info!$A$1:$B$14,2,FALSE)</f>
        <v>Espresso</v>
      </c>
      <c r="D51" s="12" t="s">
        <v>30</v>
      </c>
      <c r="E51" s="12" t="s">
        <v>16</v>
      </c>
      <c r="F51" s="11">
        <v>50</v>
      </c>
      <c r="G51" s="11">
        <v>48</v>
      </c>
      <c r="H51" s="11">
        <v>150</v>
      </c>
    </row>
    <row r="52" spans="1:8" ht="19.95" customHeight="1" thickBot="1" x14ac:dyDescent="0.45">
      <c r="A52" s="11">
        <v>505</v>
      </c>
      <c r="B52" s="10" t="s">
        <v>19</v>
      </c>
      <c r="C52" s="14" t="str">
        <f>VLOOKUP(B52,producttype_info!$A$1:$B$14,2,FALSE)</f>
        <v>Espresso</v>
      </c>
      <c r="D52" s="12" t="s">
        <v>31</v>
      </c>
      <c r="E52" s="12" t="s">
        <v>16</v>
      </c>
      <c r="F52" s="11">
        <v>10</v>
      </c>
      <c r="G52" s="11">
        <v>9</v>
      </c>
      <c r="H52" s="11">
        <v>82</v>
      </c>
    </row>
    <row r="53" spans="1:8" ht="19.95" customHeight="1" thickBot="1" x14ac:dyDescent="0.45">
      <c r="A53" s="11">
        <v>405</v>
      </c>
      <c r="B53" s="10" t="s">
        <v>19</v>
      </c>
      <c r="C53" s="14" t="str">
        <f>VLOOKUP(B53,producttype_info!$A$1:$B$14,2,FALSE)</f>
        <v>Espresso</v>
      </c>
      <c r="D53" s="12" t="s">
        <v>32</v>
      </c>
      <c r="E53" s="12" t="s">
        <v>16</v>
      </c>
      <c r="F53" s="11">
        <v>70</v>
      </c>
      <c r="G53" s="11">
        <v>67</v>
      </c>
      <c r="H53" s="11">
        <v>210</v>
      </c>
    </row>
    <row r="54" spans="1:8" ht="19.95" customHeight="1" thickBot="1" x14ac:dyDescent="0.45">
      <c r="A54" s="11">
        <v>775</v>
      </c>
      <c r="B54" s="10" t="s">
        <v>19</v>
      </c>
      <c r="C54" s="14" t="str">
        <f>VLOOKUP(B54,producttype_info!$A$1:$B$14,2,FALSE)</f>
        <v>Espresso</v>
      </c>
      <c r="D54" s="12" t="s">
        <v>33</v>
      </c>
      <c r="E54" s="12" t="s">
        <v>18</v>
      </c>
      <c r="F54" s="11">
        <v>20</v>
      </c>
      <c r="G54" s="11">
        <v>11</v>
      </c>
      <c r="H54" s="11">
        <v>43</v>
      </c>
    </row>
    <row r="55" spans="1:8" ht="19.95" customHeight="1" thickBot="1" x14ac:dyDescent="0.45">
      <c r="A55" s="11">
        <v>971</v>
      </c>
      <c r="B55" s="10" t="s">
        <v>19</v>
      </c>
      <c r="C55" s="14" t="str">
        <f>VLOOKUP(B55,producttype_info!$A$1:$B$14,2,FALSE)</f>
        <v>Espresso</v>
      </c>
      <c r="D55" s="12" t="s">
        <v>34</v>
      </c>
      <c r="E55" s="12" t="s">
        <v>18</v>
      </c>
      <c r="F55" s="11">
        <v>100</v>
      </c>
      <c r="G55" s="11">
        <v>99</v>
      </c>
      <c r="H55" s="11">
        <v>341</v>
      </c>
    </row>
    <row r="56" spans="1:8" ht="19.95" customHeight="1" thickBot="1" x14ac:dyDescent="0.45">
      <c r="A56" s="11">
        <v>435</v>
      </c>
      <c r="B56" s="10" t="s">
        <v>19</v>
      </c>
      <c r="C56" s="14" t="str">
        <f>VLOOKUP(B56,producttype_info!$A$1:$B$14,2,FALSE)</f>
        <v>Espresso</v>
      </c>
      <c r="D56" s="12" t="s">
        <v>35</v>
      </c>
      <c r="E56" s="12" t="s">
        <v>18</v>
      </c>
      <c r="F56" s="11">
        <v>50</v>
      </c>
      <c r="G56" s="11">
        <v>47</v>
      </c>
      <c r="H56" s="11">
        <v>123</v>
      </c>
    </row>
    <row r="57" spans="1:8" ht="19.95" customHeight="1" thickBot="1" x14ac:dyDescent="0.45">
      <c r="A57" s="11">
        <v>206</v>
      </c>
      <c r="B57" s="10" t="s">
        <v>19</v>
      </c>
      <c r="C57" s="14" t="str">
        <f>VLOOKUP(B57,producttype_info!$A$1:$B$14,2,FALSE)</f>
        <v>Espresso</v>
      </c>
      <c r="D57" s="12" t="s">
        <v>36</v>
      </c>
      <c r="E57" s="12" t="s">
        <v>18</v>
      </c>
      <c r="F57" s="11">
        <v>60</v>
      </c>
      <c r="G57" s="11">
        <v>39</v>
      </c>
      <c r="H57" s="11">
        <v>150</v>
      </c>
    </row>
    <row r="58" spans="1:8" ht="19.95" customHeight="1" thickBot="1" x14ac:dyDescent="0.45">
      <c r="A58" s="11">
        <v>319</v>
      </c>
      <c r="B58" s="12" t="s">
        <v>20</v>
      </c>
      <c r="C58" s="14" t="str">
        <f>VLOOKUP(B58,producttype_info!$A$1:$B$14,2,FALSE)</f>
        <v>Coffee</v>
      </c>
      <c r="D58" s="12" t="s">
        <v>27</v>
      </c>
      <c r="E58" s="12" t="s">
        <v>10</v>
      </c>
      <c r="F58" s="11">
        <v>20</v>
      </c>
      <c r="G58" s="11">
        <v>11</v>
      </c>
      <c r="H58" s="11">
        <v>45</v>
      </c>
    </row>
    <row r="59" spans="1:8" ht="19.95" customHeight="1" thickBot="1" x14ac:dyDescent="0.45">
      <c r="A59" s="11">
        <v>262</v>
      </c>
      <c r="B59" s="12" t="s">
        <v>20</v>
      </c>
      <c r="C59" s="14" t="str">
        <f>VLOOKUP(B59,producttype_info!$A$1:$B$14,2,FALSE)</f>
        <v>Coffee</v>
      </c>
      <c r="D59" s="12" t="s">
        <v>29</v>
      </c>
      <c r="E59" s="12" t="s">
        <v>10</v>
      </c>
      <c r="F59" s="11">
        <v>30</v>
      </c>
      <c r="G59" s="11">
        <v>13</v>
      </c>
      <c r="H59" s="11">
        <v>120</v>
      </c>
    </row>
    <row r="60" spans="1:8" ht="19.95" customHeight="1" thickBot="1" x14ac:dyDescent="0.45">
      <c r="A60" s="11">
        <v>641</v>
      </c>
      <c r="B60" s="12" t="s">
        <v>21</v>
      </c>
      <c r="C60" s="14" t="str">
        <f>VLOOKUP(B60,producttype_info!$A$1:$B$14,2,FALSE)</f>
        <v>Coffee</v>
      </c>
      <c r="D60" s="12" t="s">
        <v>27</v>
      </c>
      <c r="E60" s="12" t="s">
        <v>10</v>
      </c>
      <c r="F60" s="11">
        <v>20</v>
      </c>
      <c r="G60" s="11">
        <v>5</v>
      </c>
      <c r="H60" s="11">
        <v>62</v>
      </c>
    </row>
    <row r="61" spans="1:8" ht="19.95" customHeight="1" thickBot="1" x14ac:dyDescent="0.45">
      <c r="A61" s="11">
        <v>636</v>
      </c>
      <c r="B61" s="12" t="s">
        <v>21</v>
      </c>
      <c r="C61" s="14" t="str">
        <f>VLOOKUP(B61,producttype_info!$A$1:$B$14,2,FALSE)</f>
        <v>Coffee</v>
      </c>
      <c r="D61" s="12" t="s">
        <v>28</v>
      </c>
      <c r="E61" s="12" t="s">
        <v>10</v>
      </c>
      <c r="F61" s="11">
        <v>40</v>
      </c>
      <c r="G61" s="11">
        <v>39</v>
      </c>
      <c r="H61" s="11">
        <v>190</v>
      </c>
    </row>
    <row r="62" spans="1:8" ht="19.95" customHeight="1" thickBot="1" x14ac:dyDescent="0.45">
      <c r="A62" s="11">
        <v>262</v>
      </c>
      <c r="B62" s="12" t="s">
        <v>21</v>
      </c>
      <c r="C62" s="14" t="str">
        <f>VLOOKUP(B62,producttype_info!$A$1:$B$14,2,FALSE)</f>
        <v>Coffee</v>
      </c>
      <c r="D62" s="12" t="s">
        <v>29</v>
      </c>
      <c r="E62" s="12" t="s">
        <v>10</v>
      </c>
      <c r="F62" s="11">
        <v>20</v>
      </c>
      <c r="G62" s="11">
        <v>9</v>
      </c>
      <c r="H62" s="11">
        <v>190</v>
      </c>
    </row>
    <row r="63" spans="1:8" ht="19.95" customHeight="1" thickBot="1" x14ac:dyDescent="0.45">
      <c r="A63" s="11">
        <v>603</v>
      </c>
      <c r="B63" s="12" t="s">
        <v>20</v>
      </c>
      <c r="C63" s="14" t="str">
        <f>VLOOKUP(B63,producttype_info!$A$1:$B$14,2,FALSE)</f>
        <v>Coffee</v>
      </c>
      <c r="D63" s="12" t="s">
        <v>38</v>
      </c>
      <c r="E63" s="12" t="s">
        <v>14</v>
      </c>
      <c r="F63" s="11">
        <v>30</v>
      </c>
      <c r="G63" s="11">
        <v>20</v>
      </c>
      <c r="H63" s="11">
        <v>93</v>
      </c>
    </row>
    <row r="64" spans="1:8" ht="19.95" customHeight="1" thickBot="1" x14ac:dyDescent="0.45">
      <c r="A64" s="11">
        <v>475</v>
      </c>
      <c r="B64" s="12" t="s">
        <v>21</v>
      </c>
      <c r="C64" s="14" t="str">
        <f>VLOOKUP(B64,producttype_info!$A$1:$B$14,2,FALSE)</f>
        <v>Coffee</v>
      </c>
      <c r="D64" s="12" t="s">
        <v>37</v>
      </c>
      <c r="E64" s="12" t="s">
        <v>14</v>
      </c>
      <c r="F64" s="11">
        <v>130</v>
      </c>
      <c r="G64" s="11">
        <v>115</v>
      </c>
      <c r="H64" s="11">
        <v>310</v>
      </c>
    </row>
    <row r="65" spans="1:8" ht="19.95" customHeight="1" thickBot="1" x14ac:dyDescent="0.45">
      <c r="A65" s="11">
        <v>603</v>
      </c>
      <c r="B65" s="12" t="s">
        <v>21</v>
      </c>
      <c r="C65" s="14" t="str">
        <f>VLOOKUP(B65,producttype_info!$A$1:$B$14,2,FALSE)</f>
        <v>Coffee</v>
      </c>
      <c r="D65" s="12" t="s">
        <v>38</v>
      </c>
      <c r="E65" s="12" t="s">
        <v>14</v>
      </c>
      <c r="F65" s="11">
        <v>40</v>
      </c>
      <c r="G65" s="11">
        <v>25</v>
      </c>
      <c r="H65" s="11">
        <v>120</v>
      </c>
    </row>
    <row r="66" spans="1:8" ht="19.95" customHeight="1" thickBot="1" x14ac:dyDescent="0.45">
      <c r="A66" s="11">
        <v>225</v>
      </c>
      <c r="B66" s="12" t="s">
        <v>21</v>
      </c>
      <c r="C66" s="14" t="str">
        <f>VLOOKUP(B66,producttype_info!$A$1:$B$14,2,FALSE)</f>
        <v>Coffee</v>
      </c>
      <c r="D66" s="12" t="s">
        <v>30</v>
      </c>
      <c r="E66" s="12" t="s">
        <v>16</v>
      </c>
      <c r="F66" s="11">
        <v>50</v>
      </c>
      <c r="G66" s="11">
        <v>30</v>
      </c>
      <c r="H66" s="11">
        <v>85</v>
      </c>
    </row>
    <row r="67" spans="1:8" ht="19.95" customHeight="1" thickBot="1" x14ac:dyDescent="0.45">
      <c r="A67" s="11">
        <v>505</v>
      </c>
      <c r="B67" s="12" t="s">
        <v>21</v>
      </c>
      <c r="C67" s="14" t="str">
        <f>VLOOKUP(B67,producttype_info!$A$1:$B$14,2,FALSE)</f>
        <v>Coffee</v>
      </c>
      <c r="D67" s="12" t="s">
        <v>31</v>
      </c>
      <c r="E67" s="12" t="s">
        <v>16</v>
      </c>
      <c r="F67" s="11">
        <v>50</v>
      </c>
      <c r="G67" s="11">
        <v>26</v>
      </c>
      <c r="H67" s="11">
        <v>120</v>
      </c>
    </row>
    <row r="68" spans="1:8" ht="19.95" customHeight="1" thickBot="1" x14ac:dyDescent="0.45">
      <c r="A68" s="11">
        <v>580</v>
      </c>
      <c r="B68" s="12" t="s">
        <v>21</v>
      </c>
      <c r="C68" s="14" t="str">
        <f>VLOOKUP(B68,producttype_info!$A$1:$B$14,2,FALSE)</f>
        <v>Coffee</v>
      </c>
      <c r="D68" s="12" t="s">
        <v>32</v>
      </c>
      <c r="E68" s="12" t="s">
        <v>16</v>
      </c>
      <c r="F68" s="11">
        <v>50</v>
      </c>
      <c r="G68" s="11">
        <v>29</v>
      </c>
      <c r="H68" s="11">
        <v>100</v>
      </c>
    </row>
    <row r="69" spans="1:8" ht="19.95" customHeight="1" thickBot="1" x14ac:dyDescent="0.45">
      <c r="A69" s="11">
        <v>541</v>
      </c>
      <c r="B69" s="12" t="s">
        <v>20</v>
      </c>
      <c r="C69" s="14" t="str">
        <f>VLOOKUP(B69,producttype_info!$A$1:$B$14,2,FALSE)</f>
        <v>Coffee</v>
      </c>
      <c r="D69" s="12" t="s">
        <v>34</v>
      </c>
      <c r="E69" s="12" t="s">
        <v>18</v>
      </c>
      <c r="F69" s="11">
        <v>40</v>
      </c>
      <c r="G69" s="11">
        <v>1</v>
      </c>
      <c r="H69" s="11">
        <v>150</v>
      </c>
    </row>
    <row r="70" spans="1:8" ht="19.95" customHeight="1" thickBot="1" x14ac:dyDescent="0.45">
      <c r="A70" s="11">
        <v>801</v>
      </c>
      <c r="B70" s="12" t="s">
        <v>20</v>
      </c>
      <c r="C70" s="14" t="str">
        <f>VLOOKUP(B70,producttype_info!$A$1:$B$14,2,FALSE)</f>
        <v>Coffee</v>
      </c>
      <c r="D70" s="12" t="s">
        <v>35</v>
      </c>
      <c r="E70" s="12" t="s">
        <v>18</v>
      </c>
      <c r="F70" s="11">
        <v>80</v>
      </c>
      <c r="G70" s="11">
        <v>47</v>
      </c>
      <c r="H70" s="11">
        <v>170</v>
      </c>
    </row>
    <row r="71" spans="1:8" ht="19.95" customHeight="1" thickBot="1" x14ac:dyDescent="0.45">
      <c r="A71" s="11">
        <v>702</v>
      </c>
      <c r="B71" s="12" t="s">
        <v>21</v>
      </c>
      <c r="C71" s="14" t="str">
        <f>VLOOKUP(B71,producttype_info!$A$1:$B$14,2,FALSE)</f>
        <v>Coffee</v>
      </c>
      <c r="D71" s="12" t="s">
        <v>33</v>
      </c>
      <c r="E71" s="12" t="s">
        <v>18</v>
      </c>
      <c r="F71" s="11">
        <v>10</v>
      </c>
      <c r="G71" s="11">
        <v>3</v>
      </c>
      <c r="H71" s="11">
        <v>76</v>
      </c>
    </row>
    <row r="72" spans="1:8" ht="19.95" customHeight="1" thickBot="1" x14ac:dyDescent="0.45">
      <c r="A72" s="11">
        <v>503</v>
      </c>
      <c r="B72" s="12" t="s">
        <v>21</v>
      </c>
      <c r="C72" s="14" t="str">
        <f>VLOOKUP(B72,producttype_info!$A$1:$B$14,2,FALSE)</f>
        <v>Coffee</v>
      </c>
      <c r="D72" s="12" t="s">
        <v>34</v>
      </c>
      <c r="E72" s="12" t="s">
        <v>18</v>
      </c>
      <c r="F72" s="11">
        <v>60</v>
      </c>
      <c r="G72" s="11">
        <v>28</v>
      </c>
      <c r="H72" s="11">
        <v>160</v>
      </c>
    </row>
    <row r="73" spans="1:8" ht="19.95" customHeight="1" thickBot="1" x14ac:dyDescent="0.45">
      <c r="A73" s="11">
        <v>435</v>
      </c>
      <c r="B73" s="12" t="s">
        <v>21</v>
      </c>
      <c r="C73" s="14" t="str">
        <f>VLOOKUP(B73,producttype_info!$A$1:$B$14,2,FALSE)</f>
        <v>Coffee</v>
      </c>
      <c r="D73" s="12" t="s">
        <v>35</v>
      </c>
      <c r="E73" s="12" t="s">
        <v>18</v>
      </c>
      <c r="F73" s="11">
        <v>70</v>
      </c>
      <c r="G73" s="11">
        <v>30</v>
      </c>
      <c r="H73" s="11">
        <v>130</v>
      </c>
    </row>
    <row r="74" spans="1:8" ht="19.95" customHeight="1" thickBot="1" x14ac:dyDescent="0.45">
      <c r="A74" s="11">
        <v>206</v>
      </c>
      <c r="B74" s="12" t="s">
        <v>21</v>
      </c>
      <c r="C74" s="14" t="str">
        <f>VLOOKUP(B74,producttype_info!$A$1:$B$14,2,FALSE)</f>
        <v>Coffee</v>
      </c>
      <c r="D74" s="12" t="s">
        <v>36</v>
      </c>
      <c r="E74" s="12" t="s">
        <v>18</v>
      </c>
      <c r="F74" s="11">
        <v>70</v>
      </c>
      <c r="G74" s="11">
        <v>38</v>
      </c>
      <c r="H74" s="11">
        <v>130</v>
      </c>
    </row>
    <row r="75" spans="1:8" ht="19.95" customHeight="1" thickBot="1" x14ac:dyDescent="0.45">
      <c r="A75" s="11">
        <v>563</v>
      </c>
      <c r="B75" s="10" t="s">
        <v>24</v>
      </c>
      <c r="C75" s="14" t="str">
        <f>VLOOKUP(B75,producttype_info!$A$1:$B$14,2,FALSE)</f>
        <v>Espresso</v>
      </c>
      <c r="D75" s="12" t="s">
        <v>27</v>
      </c>
      <c r="E75" s="12" t="s">
        <v>10</v>
      </c>
      <c r="F75" s="11">
        <v>30</v>
      </c>
      <c r="G75" s="11">
        <v>11</v>
      </c>
      <c r="H75" s="11">
        <v>43</v>
      </c>
    </row>
    <row r="76" spans="1:8" ht="19.95" customHeight="1" thickBot="1" x14ac:dyDescent="0.45">
      <c r="A76" s="11">
        <v>573</v>
      </c>
      <c r="B76" s="10" t="s">
        <v>24</v>
      </c>
      <c r="C76" s="14" t="str">
        <f>VLOOKUP(B76,producttype_info!$A$1:$B$14,2,FALSE)</f>
        <v>Espresso</v>
      </c>
      <c r="D76" s="12" t="s">
        <v>28</v>
      </c>
      <c r="E76" s="12" t="s">
        <v>10</v>
      </c>
      <c r="F76" s="11">
        <v>70</v>
      </c>
      <c r="G76" s="11">
        <v>48</v>
      </c>
      <c r="H76" s="11">
        <v>123</v>
      </c>
    </row>
    <row r="77" spans="1:8" ht="19.95" customHeight="1" thickBot="1" x14ac:dyDescent="0.45">
      <c r="A77" s="11">
        <v>414</v>
      </c>
      <c r="B77" s="10" t="s">
        <v>24</v>
      </c>
      <c r="C77" s="14" t="str">
        <f>VLOOKUP(B77,producttype_info!$A$1:$B$14,2,FALSE)</f>
        <v>Espresso</v>
      </c>
      <c r="D77" s="12" t="s">
        <v>29</v>
      </c>
      <c r="E77" s="12" t="s">
        <v>10</v>
      </c>
      <c r="F77" s="11">
        <v>50</v>
      </c>
      <c r="G77" s="11">
        <v>38</v>
      </c>
      <c r="H77" s="11">
        <v>150</v>
      </c>
    </row>
    <row r="78" spans="1:8" ht="19.95" customHeight="1" thickBot="1" x14ac:dyDescent="0.45">
      <c r="A78" s="11">
        <v>860</v>
      </c>
      <c r="B78" s="10" t="s">
        <v>24</v>
      </c>
      <c r="C78" s="14" t="str">
        <f>VLOOKUP(B78,producttype_info!$A$1:$B$14,2,FALSE)</f>
        <v>Espresso</v>
      </c>
      <c r="D78" s="12" t="s">
        <v>37</v>
      </c>
      <c r="E78" s="12" t="s">
        <v>14</v>
      </c>
      <c r="F78" s="11">
        <v>20</v>
      </c>
      <c r="G78" s="11">
        <v>7</v>
      </c>
      <c r="H78" s="11">
        <v>180</v>
      </c>
    </row>
    <row r="79" spans="1:8" ht="19.95" customHeight="1" thickBot="1" x14ac:dyDescent="0.45">
      <c r="A79" s="11">
        <v>603</v>
      </c>
      <c r="B79" s="10" t="s">
        <v>24</v>
      </c>
      <c r="C79" s="14" t="str">
        <f>VLOOKUP(B79,producttype_info!$A$1:$B$14,2,FALSE)</f>
        <v>Espresso</v>
      </c>
      <c r="D79" s="12" t="s">
        <v>38</v>
      </c>
      <c r="E79" s="12" t="s">
        <v>14</v>
      </c>
      <c r="F79" s="11">
        <v>0</v>
      </c>
      <c r="G79" s="11">
        <v>10</v>
      </c>
      <c r="H79" s="11">
        <v>90</v>
      </c>
    </row>
    <row r="80" spans="1:8" ht="19.95" customHeight="1" thickBot="1" x14ac:dyDescent="0.45">
      <c r="A80" s="11">
        <v>603</v>
      </c>
      <c r="B80" s="13" t="s">
        <v>25</v>
      </c>
      <c r="C80" s="14" t="str">
        <f>VLOOKUP(B80,producttype_info!$A$1:$B$14,2,FALSE)</f>
        <v>Espresso</v>
      </c>
      <c r="D80" s="12" t="s">
        <v>38</v>
      </c>
      <c r="E80" s="12" t="s">
        <v>14</v>
      </c>
      <c r="F80" s="11">
        <v>0</v>
      </c>
      <c r="G80" s="11">
        <v>8</v>
      </c>
      <c r="H80" s="11">
        <v>65</v>
      </c>
    </row>
    <row r="81" spans="1:8" ht="19.95" customHeight="1" thickBot="1" x14ac:dyDescent="0.45">
      <c r="A81" s="11">
        <v>504</v>
      </c>
      <c r="B81" s="12" t="s">
        <v>26</v>
      </c>
      <c r="C81" s="14" t="str">
        <f>VLOOKUP(B81,producttype_info!$A$1:$B$14,2,FALSE)</f>
        <v>Espresso</v>
      </c>
      <c r="D81" s="12" t="s">
        <v>30</v>
      </c>
      <c r="E81" s="12" t="s">
        <v>16</v>
      </c>
      <c r="F81" s="11">
        <v>10</v>
      </c>
      <c r="G81" s="11">
        <v>8</v>
      </c>
      <c r="H81" s="11">
        <v>180</v>
      </c>
    </row>
    <row r="82" spans="1:8" ht="19.95" customHeight="1" thickBot="1" x14ac:dyDescent="0.45">
      <c r="A82" s="11">
        <v>505</v>
      </c>
      <c r="B82" s="12" t="s">
        <v>26</v>
      </c>
      <c r="C82" s="14" t="str">
        <f>VLOOKUP(B82,producttype_info!$A$1:$B$14,2,FALSE)</f>
        <v>Espresso</v>
      </c>
      <c r="D82" s="12" t="s">
        <v>31</v>
      </c>
      <c r="E82" s="12" t="s">
        <v>16</v>
      </c>
      <c r="F82" s="11">
        <v>0</v>
      </c>
      <c r="G82" s="11">
        <v>8</v>
      </c>
      <c r="H82" s="11">
        <v>65</v>
      </c>
    </row>
    <row r="83" spans="1:8" ht="19.95" customHeight="1" thickBot="1" x14ac:dyDescent="0.45">
      <c r="A83" s="11">
        <v>405</v>
      </c>
      <c r="B83" s="12" t="s">
        <v>26</v>
      </c>
      <c r="C83" s="14" t="str">
        <f>VLOOKUP(B83,producttype_info!$A$1:$B$14,2,FALSE)</f>
        <v>Espresso</v>
      </c>
      <c r="D83" s="12" t="s">
        <v>32</v>
      </c>
      <c r="E83" s="12" t="s">
        <v>16</v>
      </c>
      <c r="F83" s="11">
        <v>70</v>
      </c>
      <c r="G83" s="11">
        <v>66</v>
      </c>
      <c r="H83" s="11">
        <v>200</v>
      </c>
    </row>
    <row r="84" spans="1:8" ht="19.95" customHeight="1" thickBot="1" x14ac:dyDescent="0.45">
      <c r="A84" s="11">
        <v>337</v>
      </c>
      <c r="B84" s="10" t="s">
        <v>24</v>
      </c>
      <c r="C84" s="14" t="str">
        <f>VLOOKUP(B84,producttype_info!$A$1:$B$14,2,FALSE)</f>
        <v>Espresso</v>
      </c>
      <c r="D84" s="12" t="s">
        <v>30</v>
      </c>
      <c r="E84" s="12" t="s">
        <v>16</v>
      </c>
      <c r="F84" s="11">
        <v>80</v>
      </c>
      <c r="G84" s="11">
        <v>70</v>
      </c>
      <c r="H84" s="11">
        <v>180</v>
      </c>
    </row>
    <row r="85" spans="1:8" ht="19.95" customHeight="1" thickBot="1" x14ac:dyDescent="0.45">
      <c r="A85" s="11">
        <v>505</v>
      </c>
      <c r="B85" s="10" t="s">
        <v>24</v>
      </c>
      <c r="C85" s="14" t="str">
        <f>VLOOKUP(B85,producttype_info!$A$1:$B$14,2,FALSE)</f>
        <v>Espresso</v>
      </c>
      <c r="D85" s="12" t="s">
        <v>31</v>
      </c>
      <c r="E85" s="12" t="s">
        <v>16</v>
      </c>
      <c r="F85" s="11">
        <v>10</v>
      </c>
      <c r="G85" s="11">
        <v>10</v>
      </c>
      <c r="H85" s="11">
        <v>90</v>
      </c>
    </row>
    <row r="86" spans="1:8" ht="19.95" customHeight="1" thickBot="1" x14ac:dyDescent="0.45">
      <c r="A86" s="11">
        <v>405</v>
      </c>
      <c r="B86" s="10" t="s">
        <v>24</v>
      </c>
      <c r="C86" s="14" t="str">
        <f>VLOOKUP(B86,producttype_info!$A$1:$B$14,2,FALSE)</f>
        <v>Espresso</v>
      </c>
      <c r="D86" s="12" t="s">
        <v>32</v>
      </c>
      <c r="E86" s="12" t="s">
        <v>16</v>
      </c>
      <c r="F86" s="11">
        <v>40</v>
      </c>
      <c r="G86" s="11">
        <v>28</v>
      </c>
      <c r="H86" s="11">
        <v>80</v>
      </c>
    </row>
    <row r="87" spans="1:8" ht="19.95" customHeight="1" thickBot="1" x14ac:dyDescent="0.45">
      <c r="A87" s="11">
        <v>775</v>
      </c>
      <c r="B87" s="12" t="s">
        <v>26</v>
      </c>
      <c r="C87" s="14" t="str">
        <f>VLOOKUP(B87,producttype_info!$A$1:$B$14,2,FALSE)</f>
        <v>Espresso</v>
      </c>
      <c r="D87" s="12" t="s">
        <v>33</v>
      </c>
      <c r="E87" s="12" t="s">
        <v>18</v>
      </c>
      <c r="F87" s="11">
        <v>20</v>
      </c>
      <c r="G87" s="11">
        <v>11</v>
      </c>
      <c r="H87" s="11">
        <v>43</v>
      </c>
    </row>
    <row r="88" spans="1:8" ht="19.95" customHeight="1" thickBot="1" x14ac:dyDescent="0.45">
      <c r="A88" s="11">
        <v>503</v>
      </c>
      <c r="B88" s="12" t="s">
        <v>26</v>
      </c>
      <c r="C88" s="14" t="str">
        <f>VLOOKUP(B88,producttype_info!$A$1:$B$14,2,FALSE)</f>
        <v>Espresso</v>
      </c>
      <c r="D88" s="12" t="s">
        <v>34</v>
      </c>
      <c r="E88" s="12" t="s">
        <v>18</v>
      </c>
      <c r="F88" s="11">
        <v>20</v>
      </c>
      <c r="G88" s="11">
        <v>16</v>
      </c>
      <c r="H88" s="11">
        <v>130</v>
      </c>
    </row>
    <row r="89" spans="1:8" ht="19.95" customHeight="1" thickBot="1" x14ac:dyDescent="0.45">
      <c r="A89" s="11">
        <v>435</v>
      </c>
      <c r="B89" s="12" t="s">
        <v>26</v>
      </c>
      <c r="C89" s="14" t="str">
        <f>VLOOKUP(B89,producttype_info!$A$1:$B$14,2,FALSE)</f>
        <v>Espresso</v>
      </c>
      <c r="D89" s="12" t="s">
        <v>35</v>
      </c>
      <c r="E89" s="12" t="s">
        <v>18</v>
      </c>
      <c r="F89" s="11">
        <v>40</v>
      </c>
      <c r="G89" s="11">
        <v>44</v>
      </c>
      <c r="H89" s="11">
        <v>114</v>
      </c>
    </row>
    <row r="90" spans="1:8" ht="19.95" customHeight="1" thickBot="1" x14ac:dyDescent="0.45">
      <c r="A90" s="11">
        <v>425</v>
      </c>
      <c r="B90" s="12" t="s">
        <v>26</v>
      </c>
      <c r="C90" s="14" t="str">
        <f>VLOOKUP(B90,producttype_info!$A$1:$B$14,2,FALSE)</f>
        <v>Espresso</v>
      </c>
      <c r="D90" s="12" t="s">
        <v>36</v>
      </c>
      <c r="E90" s="12" t="s">
        <v>18</v>
      </c>
      <c r="F90" s="11">
        <v>40</v>
      </c>
      <c r="G90" s="11">
        <v>35</v>
      </c>
      <c r="H90" s="11">
        <v>110</v>
      </c>
    </row>
    <row r="91" spans="1:8" ht="19.95" customHeight="1" thickBot="1" x14ac:dyDescent="0.45">
      <c r="A91" s="11">
        <v>702</v>
      </c>
      <c r="B91" s="10" t="s">
        <v>24</v>
      </c>
      <c r="C91" s="14" t="str">
        <f>VLOOKUP(B91,producttype_info!$A$1:$B$14,2,FALSE)</f>
        <v>Espresso</v>
      </c>
      <c r="D91" s="12" t="s">
        <v>33</v>
      </c>
      <c r="E91" s="12" t="s">
        <v>18</v>
      </c>
      <c r="F91" s="11">
        <v>20</v>
      </c>
      <c r="G91" s="11">
        <v>10</v>
      </c>
      <c r="H91" s="11">
        <v>45</v>
      </c>
    </row>
    <row r="92" spans="1:8" ht="19.95" customHeight="1" thickBot="1" x14ac:dyDescent="0.45">
      <c r="A92" s="11">
        <v>503</v>
      </c>
      <c r="B92" s="10" t="s">
        <v>24</v>
      </c>
      <c r="C92" s="14" t="str">
        <f>VLOOKUP(B92,producttype_info!$A$1:$B$14,2,FALSE)</f>
        <v>Espresso</v>
      </c>
      <c r="D92" s="12" t="s">
        <v>34</v>
      </c>
      <c r="E92" s="12" t="s">
        <v>18</v>
      </c>
      <c r="F92" s="11">
        <v>50</v>
      </c>
      <c r="G92" s="11">
        <v>33</v>
      </c>
      <c r="H92" s="11">
        <v>140</v>
      </c>
    </row>
    <row r="93" spans="1:8" ht="19.95" customHeight="1" thickBot="1" x14ac:dyDescent="0.45">
      <c r="A93" s="11">
        <v>435</v>
      </c>
      <c r="B93" s="10" t="s">
        <v>24</v>
      </c>
      <c r="C93" s="14" t="str">
        <f>VLOOKUP(B93,producttype_info!$A$1:$B$14,2,FALSE)</f>
        <v>Espresso</v>
      </c>
      <c r="D93" s="12" t="s">
        <v>35</v>
      </c>
      <c r="E93" s="12" t="s">
        <v>18</v>
      </c>
      <c r="F93" s="11">
        <v>40</v>
      </c>
      <c r="G93" s="11">
        <v>34</v>
      </c>
      <c r="H93" s="11">
        <v>112</v>
      </c>
    </row>
    <row r="94" spans="1:8" ht="19.95" customHeight="1" thickBot="1" x14ac:dyDescent="0.45">
      <c r="A94" s="11">
        <v>253</v>
      </c>
      <c r="B94" s="10" t="s">
        <v>24</v>
      </c>
      <c r="C94" s="14" t="str">
        <f>VLOOKUP(B94,producttype_info!$A$1:$B$14,2,FALSE)</f>
        <v>Espresso</v>
      </c>
      <c r="D94" s="12" t="s">
        <v>36</v>
      </c>
      <c r="E94" s="12" t="s">
        <v>18</v>
      </c>
      <c r="F94" s="11">
        <v>20</v>
      </c>
      <c r="G94" s="11">
        <v>13</v>
      </c>
      <c r="H94" s="11">
        <v>120</v>
      </c>
    </row>
    <row r="95" spans="1:8" ht="19.95" customHeight="1" thickBot="1" x14ac:dyDescent="0.45">
      <c r="A95" s="11">
        <v>970</v>
      </c>
      <c r="B95" s="10" t="s">
        <v>39</v>
      </c>
      <c r="C95" s="14" t="str">
        <f>VLOOKUP(B95,producttype_info!$A$1:$B$14,2,FALSE)</f>
        <v>Herbal Tea</v>
      </c>
      <c r="D95" s="12" t="s">
        <v>9</v>
      </c>
      <c r="E95" s="12" t="s">
        <v>10</v>
      </c>
      <c r="F95" s="11">
        <v>110</v>
      </c>
      <c r="G95" s="11">
        <v>99</v>
      </c>
      <c r="H95" s="11">
        <v>341</v>
      </c>
    </row>
    <row r="96" spans="1:8" ht="19.95" customHeight="1" thickBot="1" x14ac:dyDescent="0.45">
      <c r="A96" s="11">
        <v>312</v>
      </c>
      <c r="B96" s="10" t="s">
        <v>39</v>
      </c>
      <c r="C96" s="14" t="str">
        <f>VLOOKUP(B96,producttype_info!$A$1:$B$14,2,FALSE)</f>
        <v>Herbal Tea</v>
      </c>
      <c r="D96" s="12" t="s">
        <v>11</v>
      </c>
      <c r="E96" s="12" t="s">
        <v>10</v>
      </c>
      <c r="F96" s="11">
        <v>100</v>
      </c>
      <c r="G96" s="11">
        <v>95</v>
      </c>
      <c r="H96" s="11">
        <v>219</v>
      </c>
    </row>
    <row r="97" spans="1:8" ht="19.95" customHeight="1" thickBot="1" x14ac:dyDescent="0.45">
      <c r="A97" s="11">
        <v>937</v>
      </c>
      <c r="B97" s="10" t="s">
        <v>39</v>
      </c>
      <c r="C97" s="14" t="str">
        <f>VLOOKUP(B97,producttype_info!$A$1:$B$14,2,FALSE)</f>
        <v>Herbal Tea</v>
      </c>
      <c r="D97" s="12" t="s">
        <v>12</v>
      </c>
      <c r="E97" s="12" t="s">
        <v>10</v>
      </c>
      <c r="F97" s="11">
        <v>50</v>
      </c>
      <c r="G97" s="11">
        <v>29</v>
      </c>
      <c r="H97" s="11">
        <v>80</v>
      </c>
    </row>
    <row r="98" spans="1:8" ht="19.95" customHeight="1" thickBot="1" x14ac:dyDescent="0.45">
      <c r="A98" s="11">
        <v>719</v>
      </c>
      <c r="B98" s="12" t="s">
        <v>40</v>
      </c>
      <c r="C98" s="14" t="str">
        <f>VLOOKUP(B98,producttype_info!$A$1:$B$14,2,FALSE)</f>
        <v>Herbal Tea</v>
      </c>
      <c r="D98" s="12" t="s">
        <v>9</v>
      </c>
      <c r="E98" s="12" t="s">
        <v>10</v>
      </c>
      <c r="F98" s="11">
        <v>20</v>
      </c>
      <c r="G98" s="11">
        <v>0</v>
      </c>
      <c r="H98" s="11">
        <v>150</v>
      </c>
    </row>
    <row r="99" spans="1:8" ht="19.95" customHeight="1" thickBot="1" x14ac:dyDescent="0.45">
      <c r="A99" s="11">
        <v>630</v>
      </c>
      <c r="B99" s="12" t="s">
        <v>40</v>
      </c>
      <c r="C99" s="14" t="str">
        <f>VLOOKUP(B99,producttype_info!$A$1:$B$14,2,FALSE)</f>
        <v>Herbal Tea</v>
      </c>
      <c r="D99" s="12" t="s">
        <v>11</v>
      </c>
      <c r="E99" s="12" t="s">
        <v>10</v>
      </c>
      <c r="F99" s="11">
        <v>60</v>
      </c>
      <c r="G99" s="11">
        <v>68</v>
      </c>
      <c r="H99" s="11">
        <v>190</v>
      </c>
    </row>
    <row r="100" spans="1:8" ht="19.95" customHeight="1" thickBot="1" x14ac:dyDescent="0.45">
      <c r="A100" s="11">
        <v>740</v>
      </c>
      <c r="B100" s="12" t="s">
        <v>40</v>
      </c>
      <c r="C100" s="14" t="str">
        <f>VLOOKUP(B100,producttype_info!$A$1:$B$14,2,FALSE)</f>
        <v>Herbal Tea</v>
      </c>
      <c r="D100" s="12" t="s">
        <v>12</v>
      </c>
      <c r="E100" s="12" t="s">
        <v>10</v>
      </c>
      <c r="F100" s="11">
        <v>50</v>
      </c>
      <c r="G100" s="11">
        <v>29</v>
      </c>
      <c r="H100" s="11">
        <v>80</v>
      </c>
    </row>
    <row r="101" spans="1:8" ht="19.95" customHeight="1" thickBot="1" x14ac:dyDescent="0.45">
      <c r="A101" s="11">
        <v>970</v>
      </c>
      <c r="B101" s="12" t="s">
        <v>41</v>
      </c>
      <c r="C101" s="14" t="str">
        <f>VLOOKUP(B101,producttype_info!$A$1:$B$14,2,FALSE)</f>
        <v>Herbal Tea</v>
      </c>
      <c r="D101" s="12" t="s">
        <v>9</v>
      </c>
      <c r="E101" s="12" t="s">
        <v>10</v>
      </c>
      <c r="F101" s="11">
        <v>40</v>
      </c>
      <c r="G101" s="11">
        <v>33</v>
      </c>
      <c r="H101" s="11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6D24-7408-4489-8DFF-02C798A9D4AF}">
  <dimension ref="A1:K104"/>
  <sheetViews>
    <sheetView workbookViewId="0">
      <selection activeCell="I13" sqref="I13"/>
    </sheetView>
  </sheetViews>
  <sheetFormatPr defaultRowHeight="14.4" x14ac:dyDescent="0.3"/>
  <cols>
    <col min="1" max="1" width="23.77734375" customWidth="1"/>
    <col min="2" max="2" width="24.88671875" customWidth="1"/>
    <col min="8" max="8" width="14.44140625" customWidth="1"/>
    <col min="9" max="9" width="16" customWidth="1"/>
  </cols>
  <sheetData>
    <row r="1" spans="1:11" x14ac:dyDescent="0.3">
      <c r="A1" s="16" t="s">
        <v>49</v>
      </c>
      <c r="B1" s="16" t="s">
        <v>50</v>
      </c>
      <c r="C1" s="16" t="s">
        <v>6</v>
      </c>
      <c r="D1" s="16" t="s">
        <v>51</v>
      </c>
    </row>
    <row r="2" spans="1:11" x14ac:dyDescent="0.3">
      <c r="A2" t="s">
        <v>52</v>
      </c>
      <c r="B2" t="s">
        <v>53</v>
      </c>
      <c r="C2">
        <v>9</v>
      </c>
      <c r="D2">
        <v>33</v>
      </c>
    </row>
    <row r="3" spans="1:11" x14ac:dyDescent="0.3">
      <c r="A3" t="s">
        <v>54</v>
      </c>
      <c r="B3" t="s">
        <v>55</v>
      </c>
      <c r="C3">
        <v>4</v>
      </c>
      <c r="D3">
        <v>11</v>
      </c>
    </row>
    <row r="4" spans="1:11" x14ac:dyDescent="0.3">
      <c r="A4" t="s">
        <v>56</v>
      </c>
      <c r="B4" t="s">
        <v>57</v>
      </c>
      <c r="C4">
        <v>89</v>
      </c>
      <c r="D4">
        <v>281</v>
      </c>
    </row>
    <row r="5" spans="1:11" x14ac:dyDescent="0.3">
      <c r="A5" t="s">
        <v>58</v>
      </c>
      <c r="B5" t="s">
        <v>59</v>
      </c>
      <c r="C5">
        <v>182</v>
      </c>
      <c r="D5">
        <v>388</v>
      </c>
    </row>
    <row r="6" spans="1:11" x14ac:dyDescent="0.3">
      <c r="A6" t="s">
        <v>60</v>
      </c>
      <c r="B6" t="s">
        <v>61</v>
      </c>
      <c r="C6">
        <v>-19</v>
      </c>
      <c r="D6">
        <v>56</v>
      </c>
    </row>
    <row r="7" spans="1:11" x14ac:dyDescent="0.3">
      <c r="A7" t="s">
        <v>62</v>
      </c>
      <c r="B7" t="s">
        <v>63</v>
      </c>
      <c r="C7">
        <v>15</v>
      </c>
      <c r="D7">
        <v>42</v>
      </c>
    </row>
    <row r="8" spans="1:11" x14ac:dyDescent="0.3">
      <c r="A8" t="s">
        <v>64</v>
      </c>
      <c r="B8" t="s">
        <v>65</v>
      </c>
      <c r="C8">
        <v>88</v>
      </c>
      <c r="D8">
        <v>258</v>
      </c>
    </row>
    <row r="9" spans="1:11" x14ac:dyDescent="0.3">
      <c r="A9" t="s">
        <v>66</v>
      </c>
      <c r="B9" t="s">
        <v>67</v>
      </c>
      <c r="C9">
        <v>-25</v>
      </c>
      <c r="D9">
        <v>58</v>
      </c>
    </row>
    <row r="10" spans="1:11" x14ac:dyDescent="0.3">
      <c r="A10" t="s">
        <v>68</v>
      </c>
      <c r="B10" t="s">
        <v>69</v>
      </c>
      <c r="C10">
        <v>26</v>
      </c>
      <c r="D10">
        <v>174</v>
      </c>
    </row>
    <row r="11" spans="1:11" x14ac:dyDescent="0.3">
      <c r="A11" t="s">
        <v>70</v>
      </c>
      <c r="B11" t="s">
        <v>71</v>
      </c>
      <c r="C11">
        <v>4</v>
      </c>
      <c r="D11">
        <v>15</v>
      </c>
    </row>
    <row r="12" spans="1:11" x14ac:dyDescent="0.3">
      <c r="A12" t="s">
        <v>72</v>
      </c>
      <c r="B12" t="s">
        <v>73</v>
      </c>
      <c r="C12">
        <v>40</v>
      </c>
      <c r="D12">
        <v>94</v>
      </c>
      <c r="H12" t="s">
        <v>49</v>
      </c>
      <c r="I12" t="s">
        <v>50</v>
      </c>
      <c r="J12" t="s">
        <v>6</v>
      </c>
      <c r="K12" t="s">
        <v>51</v>
      </c>
    </row>
    <row r="13" spans="1:11" x14ac:dyDescent="0.3">
      <c r="A13" t="s">
        <v>74</v>
      </c>
      <c r="B13" t="s">
        <v>75</v>
      </c>
      <c r="C13">
        <v>255</v>
      </c>
      <c r="D13">
        <v>601</v>
      </c>
      <c r="H13" t="s">
        <v>66</v>
      </c>
      <c r="I13">
        <f>I19</f>
        <v>0</v>
      </c>
    </row>
    <row r="14" spans="1:11" x14ac:dyDescent="0.3">
      <c r="A14" t="s">
        <v>76</v>
      </c>
      <c r="B14" t="s">
        <v>77</v>
      </c>
      <c r="C14">
        <v>-14</v>
      </c>
      <c r="D14">
        <v>753</v>
      </c>
      <c r="F14">
        <f>MATCH(B1,A1:D1,0)</f>
        <v>2</v>
      </c>
    </row>
    <row r="15" spans="1:11" x14ac:dyDescent="0.3">
      <c r="A15" t="s">
        <v>78</v>
      </c>
      <c r="B15" t="s">
        <v>79</v>
      </c>
      <c r="C15">
        <v>9</v>
      </c>
      <c r="D15">
        <v>19</v>
      </c>
      <c r="F15">
        <f>MATCH("Sales",A1:D1)</f>
        <v>4</v>
      </c>
    </row>
    <row r="16" spans="1:11" x14ac:dyDescent="0.3">
      <c r="A16" t="s">
        <v>80</v>
      </c>
      <c r="B16" t="s">
        <v>81</v>
      </c>
      <c r="C16">
        <v>195</v>
      </c>
      <c r="D16" s="15">
        <v>1243</v>
      </c>
    </row>
    <row r="17" spans="1:4" x14ac:dyDescent="0.3">
      <c r="A17" t="s">
        <v>82</v>
      </c>
      <c r="B17" t="s">
        <v>65</v>
      </c>
      <c r="C17">
        <v>30</v>
      </c>
      <c r="D17">
        <v>88</v>
      </c>
    </row>
    <row r="18" spans="1:4" x14ac:dyDescent="0.3">
      <c r="A18" t="s">
        <v>83</v>
      </c>
      <c r="B18" t="s">
        <v>84</v>
      </c>
      <c r="C18">
        <v>-1</v>
      </c>
      <c r="D18">
        <v>3</v>
      </c>
    </row>
    <row r="19" spans="1:4" x14ac:dyDescent="0.3">
      <c r="A19" t="s">
        <v>85</v>
      </c>
      <c r="B19" t="s">
        <v>86</v>
      </c>
      <c r="C19">
        <v>10</v>
      </c>
      <c r="D19">
        <v>20</v>
      </c>
    </row>
    <row r="20" spans="1:4" x14ac:dyDescent="0.3">
      <c r="A20" t="s">
        <v>87</v>
      </c>
      <c r="B20" t="s">
        <v>88</v>
      </c>
      <c r="C20">
        <v>432</v>
      </c>
      <c r="D20" s="15">
        <v>1843</v>
      </c>
    </row>
    <row r="21" spans="1:4" x14ac:dyDescent="0.3">
      <c r="A21" t="s">
        <v>89</v>
      </c>
      <c r="B21" t="s">
        <v>90</v>
      </c>
      <c r="C21">
        <v>297</v>
      </c>
      <c r="D21">
        <v>712</v>
      </c>
    </row>
    <row r="22" spans="1:4" x14ac:dyDescent="0.3">
      <c r="A22" t="s">
        <v>91</v>
      </c>
      <c r="B22" t="s">
        <v>86</v>
      </c>
      <c r="C22">
        <v>71</v>
      </c>
      <c r="D22">
        <v>198</v>
      </c>
    </row>
    <row r="23" spans="1:4" x14ac:dyDescent="0.3">
      <c r="A23" t="s">
        <v>92</v>
      </c>
      <c r="B23" t="s">
        <v>93</v>
      </c>
      <c r="C23">
        <v>17</v>
      </c>
      <c r="D23">
        <v>38</v>
      </c>
    </row>
    <row r="24" spans="1:4" x14ac:dyDescent="0.3">
      <c r="A24" t="s">
        <v>94</v>
      </c>
      <c r="B24" t="s">
        <v>95</v>
      </c>
      <c r="C24">
        <v>241</v>
      </c>
      <c r="D24">
        <v>830</v>
      </c>
    </row>
    <row r="25" spans="1:4" x14ac:dyDescent="0.3">
      <c r="A25" t="s">
        <v>96</v>
      </c>
      <c r="B25" t="s">
        <v>97</v>
      </c>
      <c r="C25">
        <v>216</v>
      </c>
      <c r="D25" s="15">
        <v>1091</v>
      </c>
    </row>
    <row r="26" spans="1:4" x14ac:dyDescent="0.3">
      <c r="A26" t="s">
        <v>98</v>
      </c>
      <c r="B26" t="s">
        <v>99</v>
      </c>
      <c r="C26">
        <v>-55</v>
      </c>
      <c r="D26">
        <v>868</v>
      </c>
    </row>
    <row r="27" spans="1:4" x14ac:dyDescent="0.3">
      <c r="A27" t="s">
        <v>100</v>
      </c>
      <c r="B27" t="s">
        <v>67</v>
      </c>
      <c r="C27">
        <v>23</v>
      </c>
      <c r="D27">
        <v>74</v>
      </c>
    </row>
    <row r="28" spans="1:4" x14ac:dyDescent="0.3">
      <c r="A28" t="s">
        <v>101</v>
      </c>
      <c r="B28" t="s">
        <v>67</v>
      </c>
      <c r="C28">
        <v>-25</v>
      </c>
      <c r="D28">
        <v>58</v>
      </c>
    </row>
    <row r="29" spans="1:4" x14ac:dyDescent="0.3">
      <c r="A29" t="s">
        <v>102</v>
      </c>
      <c r="B29" t="s">
        <v>57</v>
      </c>
      <c r="C29">
        <v>89</v>
      </c>
      <c r="D29">
        <v>281</v>
      </c>
    </row>
    <row r="30" spans="1:4" x14ac:dyDescent="0.3">
      <c r="A30" t="s">
        <v>103</v>
      </c>
      <c r="B30" t="s">
        <v>63</v>
      </c>
      <c r="C30">
        <v>79</v>
      </c>
      <c r="D30">
        <v>402</v>
      </c>
    </row>
    <row r="31" spans="1:4" x14ac:dyDescent="0.3">
      <c r="A31" t="s">
        <v>104</v>
      </c>
      <c r="B31" t="s">
        <v>75</v>
      </c>
      <c r="C31">
        <v>16</v>
      </c>
      <c r="D31">
        <v>159</v>
      </c>
    </row>
    <row r="32" spans="1:4" x14ac:dyDescent="0.3">
      <c r="A32" t="s">
        <v>105</v>
      </c>
      <c r="B32" t="s">
        <v>97</v>
      </c>
      <c r="C32">
        <v>9</v>
      </c>
      <c r="D32">
        <v>115</v>
      </c>
    </row>
    <row r="33" spans="1:4" x14ac:dyDescent="0.3">
      <c r="A33" t="s">
        <v>106</v>
      </c>
      <c r="B33" t="s">
        <v>81</v>
      </c>
      <c r="C33">
        <v>195</v>
      </c>
      <c r="D33" s="15">
        <v>1243</v>
      </c>
    </row>
    <row r="34" spans="1:4" x14ac:dyDescent="0.3">
      <c r="A34" t="s">
        <v>107</v>
      </c>
      <c r="B34" t="s">
        <v>61</v>
      </c>
      <c r="C34">
        <v>-21</v>
      </c>
      <c r="D34">
        <v>40</v>
      </c>
    </row>
    <row r="35" spans="1:4" x14ac:dyDescent="0.3">
      <c r="A35" t="s">
        <v>108</v>
      </c>
      <c r="B35" t="s">
        <v>90</v>
      </c>
      <c r="C35">
        <v>4</v>
      </c>
      <c r="D35">
        <v>9</v>
      </c>
    </row>
    <row r="36" spans="1:4" x14ac:dyDescent="0.3">
      <c r="A36" t="s">
        <v>109</v>
      </c>
      <c r="B36" t="s">
        <v>110</v>
      </c>
      <c r="C36">
        <v>2</v>
      </c>
      <c r="D36">
        <v>7</v>
      </c>
    </row>
    <row r="37" spans="1:4" x14ac:dyDescent="0.3">
      <c r="A37" t="s">
        <v>111</v>
      </c>
      <c r="B37" t="s">
        <v>55</v>
      </c>
      <c r="C37">
        <v>2</v>
      </c>
      <c r="D37">
        <v>7</v>
      </c>
    </row>
    <row r="38" spans="1:4" x14ac:dyDescent="0.3">
      <c r="A38" t="s">
        <v>112</v>
      </c>
      <c r="B38" t="s">
        <v>93</v>
      </c>
      <c r="C38">
        <v>9</v>
      </c>
      <c r="D38">
        <v>24</v>
      </c>
    </row>
    <row r="39" spans="1:4" x14ac:dyDescent="0.3">
      <c r="A39" t="s">
        <v>113</v>
      </c>
      <c r="B39" t="s">
        <v>61</v>
      </c>
      <c r="C39">
        <v>2</v>
      </c>
      <c r="D39">
        <v>16</v>
      </c>
    </row>
    <row r="40" spans="1:4" x14ac:dyDescent="0.3">
      <c r="A40" t="s">
        <v>114</v>
      </c>
      <c r="B40" t="s">
        <v>53</v>
      </c>
      <c r="C40">
        <v>1</v>
      </c>
      <c r="D40">
        <v>2</v>
      </c>
    </row>
    <row r="41" spans="1:4" x14ac:dyDescent="0.3">
      <c r="A41" t="s">
        <v>115</v>
      </c>
      <c r="B41" t="s">
        <v>116</v>
      </c>
      <c r="C41">
        <v>30</v>
      </c>
      <c r="D41">
        <v>74</v>
      </c>
    </row>
    <row r="42" spans="1:4" x14ac:dyDescent="0.3">
      <c r="A42" t="s">
        <v>117</v>
      </c>
      <c r="B42" t="s">
        <v>118</v>
      </c>
      <c r="C42">
        <v>10</v>
      </c>
      <c r="D42">
        <v>22</v>
      </c>
    </row>
    <row r="43" spans="1:4" x14ac:dyDescent="0.3">
      <c r="A43" t="s">
        <v>119</v>
      </c>
      <c r="B43" t="s">
        <v>120</v>
      </c>
      <c r="C43">
        <v>14</v>
      </c>
      <c r="D43">
        <v>79</v>
      </c>
    </row>
    <row r="44" spans="1:4" x14ac:dyDescent="0.3">
      <c r="A44" t="s">
        <v>121</v>
      </c>
      <c r="B44" t="s">
        <v>61</v>
      </c>
      <c r="C44">
        <v>2</v>
      </c>
      <c r="D44">
        <v>16</v>
      </c>
    </row>
    <row r="45" spans="1:4" x14ac:dyDescent="0.3">
      <c r="A45" t="s">
        <v>122</v>
      </c>
      <c r="B45" t="s">
        <v>123</v>
      </c>
      <c r="C45">
        <v>127</v>
      </c>
      <c r="D45" s="15">
        <v>1039</v>
      </c>
    </row>
    <row r="46" spans="1:4" x14ac:dyDescent="0.3">
      <c r="A46" t="s">
        <v>124</v>
      </c>
      <c r="B46" t="s">
        <v>57</v>
      </c>
      <c r="C46">
        <v>89</v>
      </c>
      <c r="D46">
        <v>281</v>
      </c>
    </row>
    <row r="47" spans="1:4" x14ac:dyDescent="0.3">
      <c r="A47" t="s">
        <v>125</v>
      </c>
      <c r="B47" t="s">
        <v>126</v>
      </c>
      <c r="C47">
        <v>-99</v>
      </c>
      <c r="D47">
        <v>72</v>
      </c>
    </row>
    <row r="48" spans="1:4" x14ac:dyDescent="0.3">
      <c r="A48" t="s">
        <v>127</v>
      </c>
      <c r="B48" t="s">
        <v>63</v>
      </c>
      <c r="C48">
        <v>15</v>
      </c>
      <c r="D48">
        <v>42</v>
      </c>
    </row>
    <row r="49" spans="1:4" x14ac:dyDescent="0.3">
      <c r="A49" t="s">
        <v>128</v>
      </c>
      <c r="B49" t="s">
        <v>84</v>
      </c>
      <c r="C49">
        <v>165</v>
      </c>
      <c r="D49">
        <v>541</v>
      </c>
    </row>
    <row r="50" spans="1:4" x14ac:dyDescent="0.3">
      <c r="A50" t="s">
        <v>129</v>
      </c>
      <c r="B50" t="s">
        <v>61</v>
      </c>
      <c r="C50">
        <v>-21</v>
      </c>
      <c r="D50">
        <v>40</v>
      </c>
    </row>
    <row r="51" spans="1:4" x14ac:dyDescent="0.3">
      <c r="A51" t="s">
        <v>130</v>
      </c>
      <c r="B51" t="s">
        <v>86</v>
      </c>
      <c r="C51">
        <v>35</v>
      </c>
      <c r="D51">
        <v>99</v>
      </c>
    </row>
    <row r="52" spans="1:4" x14ac:dyDescent="0.3">
      <c r="A52" t="s">
        <v>131</v>
      </c>
      <c r="B52" t="s">
        <v>132</v>
      </c>
      <c r="C52">
        <v>20</v>
      </c>
      <c r="D52">
        <v>64</v>
      </c>
    </row>
    <row r="53" spans="1:4" x14ac:dyDescent="0.3">
      <c r="A53" t="s">
        <v>133</v>
      </c>
      <c r="B53" t="s">
        <v>134</v>
      </c>
      <c r="C53">
        <v>11</v>
      </c>
      <c r="D53">
        <v>137</v>
      </c>
    </row>
    <row r="54" spans="1:4" x14ac:dyDescent="0.3">
      <c r="A54" t="s">
        <v>135</v>
      </c>
      <c r="B54" t="s">
        <v>75</v>
      </c>
      <c r="C54">
        <v>255</v>
      </c>
      <c r="D54">
        <v>601</v>
      </c>
    </row>
    <row r="55" spans="1:4" x14ac:dyDescent="0.3">
      <c r="A55" t="s">
        <v>136</v>
      </c>
      <c r="B55" t="s">
        <v>67</v>
      </c>
      <c r="C55">
        <v>-25</v>
      </c>
      <c r="D55">
        <v>58</v>
      </c>
    </row>
    <row r="56" spans="1:4" x14ac:dyDescent="0.3">
      <c r="A56" t="s">
        <v>137</v>
      </c>
      <c r="B56" t="s">
        <v>65</v>
      </c>
      <c r="C56">
        <v>30</v>
      </c>
      <c r="D56">
        <v>88</v>
      </c>
    </row>
    <row r="57" spans="1:4" x14ac:dyDescent="0.3">
      <c r="A57" t="s">
        <v>138</v>
      </c>
      <c r="B57" t="s">
        <v>90</v>
      </c>
      <c r="C57">
        <v>-6</v>
      </c>
      <c r="D57">
        <v>14</v>
      </c>
    </row>
    <row r="58" spans="1:4" x14ac:dyDescent="0.3">
      <c r="A58" t="s">
        <v>139</v>
      </c>
      <c r="B58" t="s">
        <v>81</v>
      </c>
      <c r="C58">
        <v>195</v>
      </c>
      <c r="D58" s="15">
        <v>1243</v>
      </c>
    </row>
    <row r="59" spans="1:4" x14ac:dyDescent="0.3">
      <c r="A59" t="s">
        <v>140</v>
      </c>
      <c r="B59" t="s">
        <v>141</v>
      </c>
      <c r="C59">
        <v>-31</v>
      </c>
      <c r="D59">
        <v>83</v>
      </c>
    </row>
    <row r="60" spans="1:4" x14ac:dyDescent="0.3">
      <c r="A60" t="s">
        <v>142</v>
      </c>
      <c r="B60" t="s">
        <v>93</v>
      </c>
      <c r="C60">
        <v>17</v>
      </c>
      <c r="D60">
        <v>38</v>
      </c>
    </row>
    <row r="61" spans="1:4" x14ac:dyDescent="0.3">
      <c r="A61" t="s">
        <v>143</v>
      </c>
      <c r="B61" t="s">
        <v>110</v>
      </c>
      <c r="C61">
        <v>2</v>
      </c>
      <c r="D61">
        <v>7</v>
      </c>
    </row>
    <row r="62" spans="1:4" x14ac:dyDescent="0.3">
      <c r="A62" t="s">
        <v>144</v>
      </c>
      <c r="B62" t="s">
        <v>116</v>
      </c>
      <c r="C62">
        <v>24</v>
      </c>
      <c r="D62">
        <v>54</v>
      </c>
    </row>
    <row r="63" spans="1:4" x14ac:dyDescent="0.3">
      <c r="A63" t="s">
        <v>145</v>
      </c>
      <c r="B63" t="s">
        <v>118</v>
      </c>
      <c r="C63">
        <v>10</v>
      </c>
      <c r="D63">
        <v>22</v>
      </c>
    </row>
    <row r="64" spans="1:4" x14ac:dyDescent="0.3">
      <c r="A64" t="s">
        <v>146</v>
      </c>
      <c r="B64" t="s">
        <v>97</v>
      </c>
      <c r="C64">
        <v>15</v>
      </c>
      <c r="D64">
        <v>55</v>
      </c>
    </row>
    <row r="65" spans="1:4" x14ac:dyDescent="0.3">
      <c r="A65" t="s">
        <v>147</v>
      </c>
      <c r="B65" t="s">
        <v>53</v>
      </c>
      <c r="C65">
        <v>3</v>
      </c>
      <c r="D65">
        <v>6</v>
      </c>
    </row>
    <row r="66" spans="1:4" x14ac:dyDescent="0.3">
      <c r="A66" t="s">
        <v>148</v>
      </c>
      <c r="B66" t="s">
        <v>55</v>
      </c>
      <c r="C66">
        <v>17</v>
      </c>
      <c r="D66">
        <v>38</v>
      </c>
    </row>
    <row r="67" spans="1:4" x14ac:dyDescent="0.3">
      <c r="A67" t="s">
        <v>149</v>
      </c>
      <c r="B67" t="s">
        <v>150</v>
      </c>
      <c r="C67">
        <v>4</v>
      </c>
      <c r="D67">
        <v>10</v>
      </c>
    </row>
    <row r="68" spans="1:4" x14ac:dyDescent="0.3">
      <c r="A68" t="s">
        <v>151</v>
      </c>
      <c r="B68" t="s">
        <v>67</v>
      </c>
      <c r="C68">
        <v>-25</v>
      </c>
      <c r="D68">
        <v>58</v>
      </c>
    </row>
    <row r="69" spans="1:4" x14ac:dyDescent="0.3">
      <c r="A69" t="s">
        <v>152</v>
      </c>
      <c r="B69" t="s">
        <v>61</v>
      </c>
      <c r="C69">
        <v>-21</v>
      </c>
      <c r="D69">
        <v>40</v>
      </c>
    </row>
    <row r="70" spans="1:4" x14ac:dyDescent="0.3">
      <c r="A70" t="s">
        <v>153</v>
      </c>
      <c r="B70" t="s">
        <v>53</v>
      </c>
      <c r="C70">
        <v>9</v>
      </c>
      <c r="D70">
        <v>19</v>
      </c>
    </row>
    <row r="71" spans="1:4" x14ac:dyDescent="0.3">
      <c r="A71" t="s">
        <v>154</v>
      </c>
      <c r="B71" t="s">
        <v>120</v>
      </c>
      <c r="C71">
        <v>24</v>
      </c>
      <c r="D71">
        <v>258</v>
      </c>
    </row>
    <row r="72" spans="1:4" x14ac:dyDescent="0.3">
      <c r="A72" t="s">
        <v>155</v>
      </c>
      <c r="B72" t="s">
        <v>123</v>
      </c>
      <c r="C72">
        <v>54</v>
      </c>
      <c r="D72">
        <v>725</v>
      </c>
    </row>
    <row r="73" spans="1:4" x14ac:dyDescent="0.3">
      <c r="A73" t="s">
        <v>156</v>
      </c>
      <c r="B73" t="s">
        <v>57</v>
      </c>
      <c r="C73">
        <v>89</v>
      </c>
      <c r="D73">
        <v>281</v>
      </c>
    </row>
    <row r="74" spans="1:4" x14ac:dyDescent="0.3">
      <c r="A74" t="s">
        <v>157</v>
      </c>
      <c r="B74" t="s">
        <v>126</v>
      </c>
      <c r="C74">
        <v>-99</v>
      </c>
      <c r="D74">
        <v>72</v>
      </c>
    </row>
    <row r="75" spans="1:4" x14ac:dyDescent="0.3">
      <c r="A75" t="s">
        <v>158</v>
      </c>
      <c r="B75" t="s">
        <v>59</v>
      </c>
      <c r="C75">
        <v>182</v>
      </c>
      <c r="D75">
        <v>388</v>
      </c>
    </row>
    <row r="76" spans="1:4" x14ac:dyDescent="0.3">
      <c r="A76" t="s">
        <v>159</v>
      </c>
      <c r="B76" t="s">
        <v>63</v>
      </c>
      <c r="C76">
        <v>15</v>
      </c>
      <c r="D76">
        <v>42</v>
      </c>
    </row>
    <row r="77" spans="1:4" x14ac:dyDescent="0.3">
      <c r="A77" t="s">
        <v>160</v>
      </c>
      <c r="B77" t="s">
        <v>110</v>
      </c>
      <c r="C77">
        <v>2</v>
      </c>
      <c r="D77">
        <v>7</v>
      </c>
    </row>
    <row r="78" spans="1:4" x14ac:dyDescent="0.3">
      <c r="A78" t="s">
        <v>161</v>
      </c>
      <c r="B78" t="s">
        <v>86</v>
      </c>
      <c r="C78">
        <v>35</v>
      </c>
      <c r="D78">
        <v>99</v>
      </c>
    </row>
    <row r="79" spans="1:4" x14ac:dyDescent="0.3">
      <c r="A79" t="s">
        <v>162</v>
      </c>
      <c r="B79" t="s">
        <v>69</v>
      </c>
      <c r="C79">
        <v>2</v>
      </c>
      <c r="D79">
        <v>41</v>
      </c>
    </row>
    <row r="80" spans="1:4" x14ac:dyDescent="0.3">
      <c r="A80" t="s">
        <v>163</v>
      </c>
      <c r="B80" t="s">
        <v>132</v>
      </c>
      <c r="C80">
        <v>9</v>
      </c>
      <c r="D80">
        <v>68</v>
      </c>
    </row>
    <row r="81" spans="1:4" x14ac:dyDescent="0.3">
      <c r="A81" t="s">
        <v>164</v>
      </c>
      <c r="B81" t="s">
        <v>71</v>
      </c>
      <c r="C81">
        <v>1</v>
      </c>
      <c r="D81">
        <v>3</v>
      </c>
    </row>
    <row r="82" spans="1:4" x14ac:dyDescent="0.3">
      <c r="A82" t="s">
        <v>165</v>
      </c>
      <c r="B82" t="s">
        <v>134</v>
      </c>
      <c r="C82">
        <v>-33</v>
      </c>
      <c r="D82">
        <v>30</v>
      </c>
    </row>
    <row r="83" spans="1:4" x14ac:dyDescent="0.3">
      <c r="A83" t="s">
        <v>166</v>
      </c>
      <c r="B83" t="s">
        <v>73</v>
      </c>
      <c r="C83">
        <v>2</v>
      </c>
      <c r="D83">
        <v>7</v>
      </c>
    </row>
    <row r="84" spans="1:4" x14ac:dyDescent="0.3">
      <c r="A84" t="s">
        <v>167</v>
      </c>
      <c r="B84" t="s">
        <v>75</v>
      </c>
      <c r="C84">
        <v>255</v>
      </c>
      <c r="D84">
        <v>601</v>
      </c>
    </row>
    <row r="85" spans="1:4" x14ac:dyDescent="0.3">
      <c r="A85" t="s">
        <v>168</v>
      </c>
      <c r="B85" t="s">
        <v>84</v>
      </c>
      <c r="C85">
        <v>165</v>
      </c>
      <c r="D85">
        <v>541</v>
      </c>
    </row>
    <row r="86" spans="1:4" x14ac:dyDescent="0.3">
      <c r="A86" t="s">
        <v>169</v>
      </c>
      <c r="B86" t="s">
        <v>77</v>
      </c>
      <c r="C86" s="15">
        <v>1417</v>
      </c>
      <c r="D86" s="15">
        <v>5607</v>
      </c>
    </row>
    <row r="87" spans="1:4" x14ac:dyDescent="0.3">
      <c r="A87" t="s">
        <v>170</v>
      </c>
      <c r="B87" t="s">
        <v>79</v>
      </c>
      <c r="C87">
        <v>9</v>
      </c>
      <c r="D87">
        <v>19</v>
      </c>
    </row>
    <row r="88" spans="1:4" x14ac:dyDescent="0.3">
      <c r="A88" t="s">
        <v>171</v>
      </c>
      <c r="B88" t="s">
        <v>55</v>
      </c>
      <c r="C88">
        <v>9</v>
      </c>
      <c r="D88">
        <v>19</v>
      </c>
    </row>
    <row r="89" spans="1:4" x14ac:dyDescent="0.3">
      <c r="A89" t="s">
        <v>172</v>
      </c>
      <c r="B89" t="s">
        <v>65</v>
      </c>
      <c r="C89">
        <v>30</v>
      </c>
      <c r="D89">
        <v>88</v>
      </c>
    </row>
    <row r="90" spans="1:4" x14ac:dyDescent="0.3">
      <c r="A90" t="s">
        <v>173</v>
      </c>
      <c r="B90" t="s">
        <v>81</v>
      </c>
      <c r="C90">
        <v>195</v>
      </c>
      <c r="D90" s="15">
        <v>1243</v>
      </c>
    </row>
    <row r="91" spans="1:4" x14ac:dyDescent="0.3">
      <c r="A91" t="s">
        <v>174</v>
      </c>
      <c r="B91" t="s">
        <v>141</v>
      </c>
      <c r="C91">
        <v>58</v>
      </c>
      <c r="D91">
        <v>126</v>
      </c>
    </row>
    <row r="92" spans="1:4" x14ac:dyDescent="0.3">
      <c r="A92" t="s">
        <v>175</v>
      </c>
      <c r="B92" t="s">
        <v>65</v>
      </c>
      <c r="C92">
        <v>30</v>
      </c>
      <c r="D92">
        <v>88</v>
      </c>
    </row>
    <row r="93" spans="1:4" x14ac:dyDescent="0.3">
      <c r="A93" t="s">
        <v>176</v>
      </c>
      <c r="B93" t="s">
        <v>84</v>
      </c>
      <c r="C93">
        <v>-1</v>
      </c>
      <c r="D93">
        <v>3</v>
      </c>
    </row>
    <row r="94" spans="1:4" x14ac:dyDescent="0.3">
      <c r="A94" t="s">
        <v>177</v>
      </c>
      <c r="B94" t="s">
        <v>61</v>
      </c>
      <c r="C94">
        <v>2</v>
      </c>
      <c r="D94">
        <v>16</v>
      </c>
    </row>
    <row r="95" spans="1:4" x14ac:dyDescent="0.3">
      <c r="A95" t="s">
        <v>178</v>
      </c>
      <c r="B95" t="s">
        <v>86</v>
      </c>
      <c r="C95">
        <v>35</v>
      </c>
      <c r="D95">
        <v>99</v>
      </c>
    </row>
    <row r="96" spans="1:4" x14ac:dyDescent="0.3">
      <c r="A96" t="s">
        <v>179</v>
      </c>
      <c r="B96" t="s">
        <v>88</v>
      </c>
      <c r="C96">
        <v>10</v>
      </c>
      <c r="D96">
        <v>679</v>
      </c>
    </row>
    <row r="97" spans="1:4" x14ac:dyDescent="0.3">
      <c r="A97" t="s">
        <v>180</v>
      </c>
      <c r="B97" t="s">
        <v>93</v>
      </c>
      <c r="C97">
        <v>17</v>
      </c>
      <c r="D97">
        <v>38</v>
      </c>
    </row>
    <row r="98" spans="1:4" x14ac:dyDescent="0.3">
      <c r="A98" t="s">
        <v>181</v>
      </c>
      <c r="B98" t="s">
        <v>110</v>
      </c>
      <c r="C98">
        <v>2</v>
      </c>
      <c r="D98">
        <v>7</v>
      </c>
    </row>
    <row r="99" spans="1:4" x14ac:dyDescent="0.3">
      <c r="A99" t="s">
        <v>182</v>
      </c>
      <c r="B99" t="s">
        <v>90</v>
      </c>
      <c r="C99">
        <v>3</v>
      </c>
      <c r="D99">
        <v>6</v>
      </c>
    </row>
    <row r="100" spans="1:4" x14ac:dyDescent="0.3">
      <c r="A100" t="s">
        <v>183</v>
      </c>
      <c r="B100" t="s">
        <v>95</v>
      </c>
      <c r="C100">
        <v>28</v>
      </c>
      <c r="D100">
        <v>79</v>
      </c>
    </row>
    <row r="101" spans="1:4" x14ac:dyDescent="0.3">
      <c r="A101" t="s">
        <v>184</v>
      </c>
      <c r="B101" t="s">
        <v>99</v>
      </c>
      <c r="C101">
        <v>-55</v>
      </c>
      <c r="D101">
        <v>868</v>
      </c>
    </row>
    <row r="102" spans="1:4" x14ac:dyDescent="0.3">
      <c r="A102" t="s">
        <v>185</v>
      </c>
      <c r="B102" t="s">
        <v>67</v>
      </c>
      <c r="C102">
        <v>23</v>
      </c>
      <c r="D102">
        <v>74</v>
      </c>
    </row>
    <row r="103" spans="1:4" x14ac:dyDescent="0.3">
      <c r="A103" t="s">
        <v>186</v>
      </c>
      <c r="B103" t="s">
        <v>150</v>
      </c>
      <c r="C103">
        <v>4</v>
      </c>
      <c r="D103">
        <v>10</v>
      </c>
    </row>
    <row r="104" spans="1:4" x14ac:dyDescent="0.3">
      <c r="A104" t="s">
        <v>187</v>
      </c>
      <c r="B104" t="s">
        <v>188</v>
      </c>
      <c r="C104">
        <v>8</v>
      </c>
      <c r="D104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277F-1C79-4B04-A0D6-2F1E06B4FFF3}">
  <dimension ref="A1:H14"/>
  <sheetViews>
    <sheetView tabSelected="1" workbookViewId="0">
      <selection activeCell="M10" sqref="M10"/>
    </sheetView>
  </sheetViews>
  <sheetFormatPr defaultRowHeight="14.4" x14ac:dyDescent="0.3"/>
  <cols>
    <col min="1" max="1" width="17" customWidth="1"/>
    <col min="2" max="2" width="10.33203125" customWidth="1"/>
    <col min="3" max="3" width="10.77734375" customWidth="1"/>
    <col min="4" max="4" width="10.33203125" customWidth="1"/>
    <col min="7" max="7" width="15.5546875" bestFit="1" customWidth="1"/>
  </cols>
  <sheetData>
    <row r="1" spans="1:8" x14ac:dyDescent="0.3">
      <c r="A1" s="16" t="s">
        <v>1</v>
      </c>
      <c r="B1" s="16" t="s">
        <v>197</v>
      </c>
      <c r="C1" s="16" t="s">
        <v>198</v>
      </c>
      <c r="D1" s="16" t="s">
        <v>199</v>
      </c>
    </row>
    <row r="2" spans="1:8" x14ac:dyDescent="0.3">
      <c r="A2" t="s">
        <v>200</v>
      </c>
      <c r="B2" t="s">
        <v>201</v>
      </c>
      <c r="C2" t="s">
        <v>202</v>
      </c>
      <c r="D2" t="s">
        <v>203</v>
      </c>
    </row>
    <row r="3" spans="1:8" x14ac:dyDescent="0.3">
      <c r="A3" t="s">
        <v>41</v>
      </c>
      <c r="B3" t="s">
        <v>204</v>
      </c>
      <c r="C3" t="s">
        <v>205</v>
      </c>
      <c r="D3" t="s">
        <v>206</v>
      </c>
      <c r="G3" t="s">
        <v>1</v>
      </c>
      <c r="H3" t="s">
        <v>239</v>
      </c>
    </row>
    <row r="4" spans="1:8" x14ac:dyDescent="0.3">
      <c r="A4" t="s">
        <v>40</v>
      </c>
      <c r="B4" t="s">
        <v>207</v>
      </c>
      <c r="C4" t="s">
        <v>208</v>
      </c>
      <c r="D4" t="s">
        <v>209</v>
      </c>
      <c r="G4" t="s">
        <v>8</v>
      </c>
      <c r="H4" t="s">
        <v>197</v>
      </c>
    </row>
    <row r="5" spans="1:8" x14ac:dyDescent="0.3">
      <c r="A5" t="s">
        <v>48</v>
      </c>
      <c r="B5" t="s">
        <v>210</v>
      </c>
      <c r="C5" t="s">
        <v>211</v>
      </c>
      <c r="D5" t="s">
        <v>212</v>
      </c>
    </row>
    <row r="6" spans="1:8" x14ac:dyDescent="0.3">
      <c r="A6" t="s">
        <v>47</v>
      </c>
      <c r="B6" t="s">
        <v>207</v>
      </c>
      <c r="C6" t="s">
        <v>213</v>
      </c>
      <c r="D6" t="s">
        <v>214</v>
      </c>
      <c r="H6" t="str">
        <f>INDEX(B2:D14,MATCH(G4,A2:A14,0),MATCH(H4,B1:D1,0))</f>
        <v>$ 6,543</v>
      </c>
    </row>
    <row r="7" spans="1:8" x14ac:dyDescent="0.3">
      <c r="A7" t="s">
        <v>8</v>
      </c>
      <c r="B7" t="s">
        <v>215</v>
      </c>
      <c r="C7" t="s">
        <v>216</v>
      </c>
      <c r="D7" t="s">
        <v>217</v>
      </c>
      <c r="H7" t="str">
        <f>INDEX(twoway_table[[Quarter1]:[Quarter3]],MATCH(G4,twoway_table[Product],0),MATCH(H4,twoway_table[[#Headers],[Quarter1]:[Quarter3]],0))</f>
        <v>$ 6,543</v>
      </c>
    </row>
    <row r="8" spans="1:8" x14ac:dyDescent="0.3">
      <c r="A8" t="s">
        <v>218</v>
      </c>
      <c r="B8" t="s">
        <v>219</v>
      </c>
      <c r="C8" t="s">
        <v>220</v>
      </c>
      <c r="D8" t="s">
        <v>221</v>
      </c>
    </row>
    <row r="9" spans="1:8" x14ac:dyDescent="0.3">
      <c r="A9" t="s">
        <v>222</v>
      </c>
      <c r="B9" t="s">
        <v>223</v>
      </c>
      <c r="C9" t="s">
        <v>224</v>
      </c>
      <c r="D9" t="s">
        <v>225</v>
      </c>
    </row>
    <row r="10" spans="1:8" x14ac:dyDescent="0.3">
      <c r="A10" t="s">
        <v>21</v>
      </c>
      <c r="B10" t="s">
        <v>226</v>
      </c>
      <c r="C10" t="s">
        <v>227</v>
      </c>
      <c r="D10" t="s">
        <v>228</v>
      </c>
    </row>
    <row r="11" spans="1:8" x14ac:dyDescent="0.3">
      <c r="A11" t="s">
        <v>39</v>
      </c>
      <c r="B11" t="s">
        <v>229</v>
      </c>
      <c r="C11" t="s">
        <v>230</v>
      </c>
      <c r="D11" t="s">
        <v>231</v>
      </c>
    </row>
    <row r="12" spans="1:8" x14ac:dyDescent="0.3">
      <c r="A12" t="s">
        <v>24</v>
      </c>
      <c r="B12" t="s">
        <v>232</v>
      </c>
      <c r="C12" t="s">
        <v>233</v>
      </c>
      <c r="D12" t="s">
        <v>234</v>
      </c>
    </row>
    <row r="13" spans="1:8" x14ac:dyDescent="0.3">
      <c r="A13" t="s">
        <v>26</v>
      </c>
      <c r="B13" t="s">
        <v>235</v>
      </c>
      <c r="C13" t="s">
        <v>236</v>
      </c>
      <c r="D13" t="s">
        <v>215</v>
      </c>
    </row>
    <row r="14" spans="1:8" x14ac:dyDescent="0.3">
      <c r="A14" t="s">
        <v>20</v>
      </c>
      <c r="B14" t="s">
        <v>237</v>
      </c>
      <c r="C14" t="s">
        <v>238</v>
      </c>
      <c r="D14" t="s">
        <v>205</v>
      </c>
    </row>
  </sheetData>
  <dataValidations count="1">
    <dataValidation type="list" allowBlank="1" showInputMessage="1" showErrorMessage="1" sqref="G4" xr:uid="{229D1E27-1A33-4E9C-B2E6-64A176F24FAF}">
      <formula1>$A$2:$A$14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B2F0-10C3-4B79-8F6D-572DEE178432}">
  <dimension ref="A1:L17"/>
  <sheetViews>
    <sheetView workbookViewId="0">
      <selection activeCell="H22" sqref="H22"/>
    </sheetView>
  </sheetViews>
  <sheetFormatPr defaultRowHeight="14.4" x14ac:dyDescent="0.3"/>
  <cols>
    <col min="1" max="1" width="15.33203125" style="18" customWidth="1"/>
    <col min="2" max="2" width="17.5546875" style="18" customWidth="1"/>
    <col min="3" max="3" width="8.44140625" style="19" customWidth="1"/>
    <col min="4" max="4" width="8.44140625" style="19" bestFit="1" customWidth="1"/>
    <col min="5" max="5" width="15.88671875" style="18" bestFit="1" customWidth="1"/>
    <col min="11" max="11" width="15.21875" bestFit="1" customWidth="1"/>
    <col min="12" max="12" width="10.88671875" bestFit="1" customWidth="1"/>
  </cols>
  <sheetData>
    <row r="1" spans="1:12" x14ac:dyDescent="0.3">
      <c r="A1" s="24" t="s">
        <v>240</v>
      </c>
      <c r="B1" s="24" t="s">
        <v>241</v>
      </c>
      <c r="C1" s="25" t="s">
        <v>6</v>
      </c>
      <c r="D1" s="25" t="s">
        <v>51</v>
      </c>
      <c r="E1" s="24" t="s">
        <v>1</v>
      </c>
      <c r="K1" t="s">
        <v>1</v>
      </c>
      <c r="L1" t="s">
        <v>254</v>
      </c>
    </row>
    <row r="2" spans="1:12" x14ac:dyDescent="0.3">
      <c r="A2" s="20" t="s">
        <v>42</v>
      </c>
      <c r="B2" s="20" t="s">
        <v>242</v>
      </c>
      <c r="C2" s="21" t="s">
        <v>243</v>
      </c>
      <c r="D2" s="21" t="s">
        <v>244</v>
      </c>
      <c r="E2" s="20" t="s">
        <v>245</v>
      </c>
      <c r="K2" t="s">
        <v>241</v>
      </c>
      <c r="L2" t="str">
        <f>INDEX(B2:B17,MATCH(L1,E2:E17))</f>
        <v>Beans</v>
      </c>
    </row>
    <row r="3" spans="1:12" x14ac:dyDescent="0.3">
      <c r="A3" s="22" t="s">
        <v>246</v>
      </c>
      <c r="B3" s="22" t="s">
        <v>242</v>
      </c>
      <c r="C3" s="23" t="s">
        <v>247</v>
      </c>
      <c r="D3" s="23" t="s">
        <v>248</v>
      </c>
      <c r="E3" s="22" t="s">
        <v>249</v>
      </c>
      <c r="K3" t="s">
        <v>2</v>
      </c>
    </row>
    <row r="4" spans="1:12" x14ac:dyDescent="0.3">
      <c r="A4" s="20" t="s">
        <v>44</v>
      </c>
      <c r="B4" s="20" t="s">
        <v>250</v>
      </c>
      <c r="C4" s="21" t="s">
        <v>251</v>
      </c>
      <c r="D4" s="21" t="s">
        <v>252</v>
      </c>
      <c r="E4" s="20" t="s">
        <v>40</v>
      </c>
      <c r="K4" t="s">
        <v>6</v>
      </c>
    </row>
    <row r="5" spans="1:12" x14ac:dyDescent="0.3">
      <c r="A5" s="22" t="s">
        <v>46</v>
      </c>
      <c r="B5" s="22" t="s">
        <v>250</v>
      </c>
      <c r="C5" s="23" t="s">
        <v>220</v>
      </c>
      <c r="D5" s="23" t="s">
        <v>253</v>
      </c>
      <c r="E5" s="22" t="s">
        <v>41</v>
      </c>
      <c r="K5" t="s">
        <v>51</v>
      </c>
    </row>
    <row r="6" spans="1:12" x14ac:dyDescent="0.3">
      <c r="A6" s="20" t="s">
        <v>42</v>
      </c>
      <c r="B6" s="20" t="s">
        <v>242</v>
      </c>
      <c r="C6" s="21" t="s">
        <v>212</v>
      </c>
      <c r="D6" s="21" t="s">
        <v>252</v>
      </c>
      <c r="E6" s="20" t="s">
        <v>254</v>
      </c>
    </row>
    <row r="7" spans="1:12" x14ac:dyDescent="0.3">
      <c r="A7" s="22" t="s">
        <v>246</v>
      </c>
      <c r="B7" s="22" t="s">
        <v>242</v>
      </c>
      <c r="C7" s="23" t="s">
        <v>255</v>
      </c>
      <c r="D7" s="23" t="s">
        <v>256</v>
      </c>
      <c r="E7" s="22" t="s">
        <v>257</v>
      </c>
    </row>
    <row r="8" spans="1:12" x14ac:dyDescent="0.3">
      <c r="A8" s="20" t="s">
        <v>44</v>
      </c>
      <c r="B8" s="20" t="s">
        <v>250</v>
      </c>
      <c r="C8" s="21" t="s">
        <v>258</v>
      </c>
      <c r="D8" s="21" t="s">
        <v>259</v>
      </c>
      <c r="E8" s="20" t="s">
        <v>260</v>
      </c>
    </row>
    <row r="9" spans="1:12" x14ac:dyDescent="0.3">
      <c r="A9" s="22" t="s">
        <v>46</v>
      </c>
      <c r="B9" s="22" t="s">
        <v>250</v>
      </c>
      <c r="C9" s="23" t="s">
        <v>261</v>
      </c>
      <c r="D9" s="23" t="s">
        <v>262</v>
      </c>
      <c r="E9" s="22" t="s">
        <v>263</v>
      </c>
    </row>
    <row r="10" spans="1:12" x14ac:dyDescent="0.3">
      <c r="A10" s="20" t="s">
        <v>42</v>
      </c>
      <c r="B10" s="20" t="s">
        <v>242</v>
      </c>
      <c r="C10" s="21" t="s">
        <v>264</v>
      </c>
      <c r="D10" s="21" t="s">
        <v>265</v>
      </c>
      <c r="E10" s="20" t="s">
        <v>8</v>
      </c>
    </row>
    <row r="11" spans="1:12" x14ac:dyDescent="0.3">
      <c r="A11" s="22" t="s">
        <v>246</v>
      </c>
      <c r="B11" s="22" t="s">
        <v>242</v>
      </c>
      <c r="C11" s="23" t="s">
        <v>266</v>
      </c>
      <c r="D11" s="23" t="s">
        <v>267</v>
      </c>
      <c r="E11" s="22" t="s">
        <v>268</v>
      </c>
    </row>
    <row r="12" spans="1:12" x14ac:dyDescent="0.3">
      <c r="A12" s="20" t="s">
        <v>44</v>
      </c>
      <c r="B12" s="20" t="s">
        <v>250</v>
      </c>
      <c r="C12" s="21" t="s">
        <v>206</v>
      </c>
      <c r="D12" s="21" t="s">
        <v>269</v>
      </c>
      <c r="E12" s="20" t="s">
        <v>270</v>
      </c>
      <c r="K12" t="s">
        <v>1</v>
      </c>
      <c r="L12" t="s">
        <v>40</v>
      </c>
    </row>
    <row r="13" spans="1:12" x14ac:dyDescent="0.3">
      <c r="A13" s="22" t="s">
        <v>46</v>
      </c>
      <c r="B13" s="22" t="s">
        <v>250</v>
      </c>
      <c r="C13" s="23" t="s">
        <v>271</v>
      </c>
      <c r="D13" s="23" t="s">
        <v>272</v>
      </c>
      <c r="E13" s="22" t="s">
        <v>273</v>
      </c>
      <c r="K13" t="s">
        <v>241</v>
      </c>
      <c r="L13" t="str">
        <f>INDEX(Product_Category,MATCH(L12,Product))</f>
        <v>Leaves</v>
      </c>
    </row>
    <row r="14" spans="1:12" x14ac:dyDescent="0.3">
      <c r="A14" s="20" t="s">
        <v>42</v>
      </c>
      <c r="B14" s="20" t="s">
        <v>242</v>
      </c>
      <c r="C14" s="21" t="s">
        <v>274</v>
      </c>
      <c r="D14" s="21" t="s">
        <v>275</v>
      </c>
      <c r="E14" s="20" t="s">
        <v>249</v>
      </c>
      <c r="K14" t="s">
        <v>2</v>
      </c>
      <c r="L14" t="str">
        <f>INDEX(im_table[Product TypeA],MATCH(L12,im_table[Product],0))</f>
        <v>Herbal Tea</v>
      </c>
    </row>
    <row r="15" spans="1:12" x14ac:dyDescent="0.3">
      <c r="A15" s="22" t="s">
        <v>246</v>
      </c>
      <c r="B15" s="22" t="s">
        <v>242</v>
      </c>
      <c r="C15" s="23" t="s">
        <v>276</v>
      </c>
      <c r="D15" s="23" t="s">
        <v>277</v>
      </c>
      <c r="E15" s="22" t="s">
        <v>257</v>
      </c>
      <c r="K15" t="s">
        <v>6</v>
      </c>
    </row>
    <row r="16" spans="1:12" x14ac:dyDescent="0.3">
      <c r="A16" s="20" t="s">
        <v>44</v>
      </c>
      <c r="B16" s="20" t="s">
        <v>250</v>
      </c>
      <c r="C16" s="21" t="s">
        <v>205</v>
      </c>
      <c r="D16" s="21" t="s">
        <v>278</v>
      </c>
      <c r="E16" s="20" t="s">
        <v>279</v>
      </c>
      <c r="K16" t="s">
        <v>51</v>
      </c>
    </row>
    <row r="17" spans="1:5" x14ac:dyDescent="0.3">
      <c r="A17" s="22" t="s">
        <v>46</v>
      </c>
      <c r="B17" s="22" t="s">
        <v>250</v>
      </c>
      <c r="C17" s="23" t="s">
        <v>280</v>
      </c>
      <c r="D17" s="23" t="s">
        <v>281</v>
      </c>
      <c r="E17" s="22" t="s">
        <v>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7A90-0BAB-482A-A12D-B4C89AD417AC}">
  <dimension ref="A1:CZ4"/>
  <sheetViews>
    <sheetView topLeftCell="CD1" workbookViewId="0">
      <selection activeCell="C11" sqref="C11"/>
    </sheetView>
  </sheetViews>
  <sheetFormatPr defaultRowHeight="14.4" x14ac:dyDescent="0.3"/>
  <cols>
    <col min="1" max="1" width="16" customWidth="1"/>
    <col min="2" max="2" width="16.33203125" customWidth="1"/>
    <col min="3" max="5" width="14.6640625" bestFit="1" customWidth="1"/>
    <col min="6" max="6" width="14.88671875" bestFit="1" customWidth="1"/>
    <col min="7" max="9" width="14.6640625" bestFit="1" customWidth="1"/>
  </cols>
  <sheetData>
    <row r="1" spans="1:104" x14ac:dyDescent="0.3">
      <c r="A1" s="16" t="s">
        <v>49</v>
      </c>
      <c r="B1" t="s">
        <v>52</v>
      </c>
      <c r="C1" t="s">
        <v>54</v>
      </c>
      <c r="D1" t="s">
        <v>56</v>
      </c>
      <c r="E1" t="s">
        <v>58</v>
      </c>
      <c r="F1" t="s">
        <v>60</v>
      </c>
      <c r="G1" t="s">
        <v>62</v>
      </c>
      <c r="H1" t="s">
        <v>64</v>
      </c>
      <c r="I1" t="s">
        <v>66</v>
      </c>
      <c r="J1" t="s">
        <v>68</v>
      </c>
      <c r="K1" t="s">
        <v>70</v>
      </c>
      <c r="L1" t="s">
        <v>72</v>
      </c>
      <c r="M1" t="s">
        <v>74</v>
      </c>
      <c r="N1" t="s">
        <v>76</v>
      </c>
      <c r="O1" t="s">
        <v>78</v>
      </c>
      <c r="P1" t="s">
        <v>80</v>
      </c>
      <c r="Q1" t="s">
        <v>82</v>
      </c>
      <c r="R1" t="s">
        <v>83</v>
      </c>
      <c r="S1" t="s">
        <v>85</v>
      </c>
      <c r="T1" t="s">
        <v>87</v>
      </c>
      <c r="U1" t="s">
        <v>89</v>
      </c>
      <c r="V1" t="s">
        <v>91</v>
      </c>
      <c r="W1" t="s">
        <v>92</v>
      </c>
      <c r="X1" t="s">
        <v>94</v>
      </c>
      <c r="Y1" t="s">
        <v>96</v>
      </c>
      <c r="Z1" t="s">
        <v>98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  <c r="AG1" t="s">
        <v>106</v>
      </c>
      <c r="AH1" t="s">
        <v>107</v>
      </c>
      <c r="AI1" t="s">
        <v>108</v>
      </c>
      <c r="AJ1" t="s">
        <v>109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117</v>
      </c>
      <c r="AQ1" t="s">
        <v>119</v>
      </c>
      <c r="AR1" t="s">
        <v>121</v>
      </c>
      <c r="AS1" t="s">
        <v>122</v>
      </c>
      <c r="AT1" t="s">
        <v>124</v>
      </c>
      <c r="AU1" t="s">
        <v>125</v>
      </c>
      <c r="AV1" t="s">
        <v>127</v>
      </c>
      <c r="AW1" t="s">
        <v>128</v>
      </c>
      <c r="AX1" t="s">
        <v>129</v>
      </c>
      <c r="AY1" t="s">
        <v>130</v>
      </c>
      <c r="AZ1" t="s">
        <v>131</v>
      </c>
      <c r="BA1" t="s">
        <v>133</v>
      </c>
      <c r="BB1" t="s">
        <v>135</v>
      </c>
      <c r="BC1" t="s">
        <v>136</v>
      </c>
      <c r="BD1" t="s">
        <v>137</v>
      </c>
      <c r="BE1" t="s">
        <v>138</v>
      </c>
      <c r="BF1" t="s">
        <v>139</v>
      </c>
      <c r="BG1" t="s">
        <v>140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151</v>
      </c>
      <c r="BQ1" t="s">
        <v>152</v>
      </c>
      <c r="BR1" t="s">
        <v>153</v>
      </c>
      <c r="BS1" t="s">
        <v>154</v>
      </c>
      <c r="BT1" t="s">
        <v>155</v>
      </c>
      <c r="BU1" t="s">
        <v>156</v>
      </c>
      <c r="BV1" t="s">
        <v>157</v>
      </c>
      <c r="BW1" t="s">
        <v>158</v>
      </c>
      <c r="BX1" t="s">
        <v>159</v>
      </c>
      <c r="BY1" t="s">
        <v>160</v>
      </c>
      <c r="BZ1" t="s">
        <v>161</v>
      </c>
      <c r="CA1" t="s">
        <v>162</v>
      </c>
      <c r="CB1" t="s">
        <v>163</v>
      </c>
      <c r="CC1" t="s">
        <v>164</v>
      </c>
      <c r="CD1" t="s">
        <v>165</v>
      </c>
      <c r="CE1" t="s">
        <v>166</v>
      </c>
      <c r="CF1" t="s">
        <v>167</v>
      </c>
      <c r="CG1" t="s">
        <v>168</v>
      </c>
      <c r="CH1" t="s">
        <v>169</v>
      </c>
      <c r="CI1" t="s">
        <v>170</v>
      </c>
      <c r="CJ1" t="s">
        <v>171</v>
      </c>
      <c r="CK1" t="s">
        <v>172</v>
      </c>
      <c r="CL1" t="s">
        <v>173</v>
      </c>
      <c r="CM1" t="s">
        <v>174</v>
      </c>
      <c r="CN1" t="s">
        <v>175</v>
      </c>
      <c r="CO1" t="s">
        <v>176</v>
      </c>
      <c r="CP1" t="s">
        <v>177</v>
      </c>
      <c r="CQ1" t="s">
        <v>178</v>
      </c>
      <c r="CR1" t="s">
        <v>179</v>
      </c>
      <c r="CS1" t="s">
        <v>180</v>
      </c>
      <c r="CT1" t="s">
        <v>181</v>
      </c>
      <c r="CU1" t="s">
        <v>182</v>
      </c>
      <c r="CV1" t="s">
        <v>183</v>
      </c>
      <c r="CW1" t="s">
        <v>184</v>
      </c>
      <c r="CX1" t="s">
        <v>185</v>
      </c>
      <c r="CY1" t="s">
        <v>186</v>
      </c>
      <c r="CZ1" t="s">
        <v>187</v>
      </c>
    </row>
    <row r="2" spans="1:104" x14ac:dyDescent="0.3">
      <c r="A2" s="16" t="s">
        <v>50</v>
      </c>
      <c r="B2" t="s">
        <v>53</v>
      </c>
      <c r="C2" t="s">
        <v>55</v>
      </c>
      <c r="D2" t="s">
        <v>57</v>
      </c>
      <c r="E2" t="s">
        <v>59</v>
      </c>
      <c r="F2" t="s">
        <v>61</v>
      </c>
      <c r="G2" t="s">
        <v>63</v>
      </c>
      <c r="H2" t="s">
        <v>65</v>
      </c>
      <c r="I2" t="s">
        <v>67</v>
      </c>
      <c r="J2" t="s">
        <v>69</v>
      </c>
      <c r="K2" t="s">
        <v>71</v>
      </c>
      <c r="L2" t="s">
        <v>73</v>
      </c>
      <c r="M2" t="s">
        <v>75</v>
      </c>
      <c r="N2" t="s">
        <v>77</v>
      </c>
      <c r="O2" t="s">
        <v>79</v>
      </c>
      <c r="P2" t="s">
        <v>81</v>
      </c>
      <c r="Q2" t="s">
        <v>65</v>
      </c>
      <c r="R2" t="s">
        <v>84</v>
      </c>
      <c r="S2" t="s">
        <v>86</v>
      </c>
      <c r="T2" t="s">
        <v>88</v>
      </c>
      <c r="U2" t="s">
        <v>90</v>
      </c>
      <c r="V2" t="s">
        <v>86</v>
      </c>
      <c r="W2" t="s">
        <v>93</v>
      </c>
      <c r="X2" t="s">
        <v>95</v>
      </c>
      <c r="Y2" t="s">
        <v>97</v>
      </c>
      <c r="Z2" t="s">
        <v>99</v>
      </c>
      <c r="AA2" t="s">
        <v>67</v>
      </c>
      <c r="AB2" t="s">
        <v>67</v>
      </c>
      <c r="AC2" t="s">
        <v>57</v>
      </c>
      <c r="AD2" t="s">
        <v>63</v>
      </c>
      <c r="AE2" t="s">
        <v>75</v>
      </c>
      <c r="AF2" t="s">
        <v>97</v>
      </c>
      <c r="AG2" t="s">
        <v>81</v>
      </c>
      <c r="AH2" t="s">
        <v>61</v>
      </c>
      <c r="AI2" t="s">
        <v>90</v>
      </c>
      <c r="AJ2" t="s">
        <v>110</v>
      </c>
      <c r="AK2" t="s">
        <v>55</v>
      </c>
      <c r="AL2" t="s">
        <v>93</v>
      </c>
      <c r="AM2" t="s">
        <v>61</v>
      </c>
      <c r="AN2" t="s">
        <v>53</v>
      </c>
      <c r="AO2" t="s">
        <v>116</v>
      </c>
      <c r="AP2" t="s">
        <v>118</v>
      </c>
      <c r="AQ2" t="s">
        <v>120</v>
      </c>
      <c r="AR2" t="s">
        <v>61</v>
      </c>
      <c r="AS2" t="s">
        <v>123</v>
      </c>
      <c r="AT2" t="s">
        <v>57</v>
      </c>
      <c r="AU2" t="s">
        <v>126</v>
      </c>
      <c r="AV2" t="s">
        <v>63</v>
      </c>
      <c r="AW2" t="s">
        <v>84</v>
      </c>
      <c r="AX2" t="s">
        <v>61</v>
      </c>
      <c r="AY2" t="s">
        <v>86</v>
      </c>
      <c r="AZ2" t="s">
        <v>132</v>
      </c>
      <c r="BA2" t="s">
        <v>134</v>
      </c>
      <c r="BB2" t="s">
        <v>75</v>
      </c>
      <c r="BC2" t="s">
        <v>67</v>
      </c>
      <c r="BD2" t="s">
        <v>65</v>
      </c>
      <c r="BE2" t="s">
        <v>90</v>
      </c>
      <c r="BF2" t="s">
        <v>81</v>
      </c>
      <c r="BG2" t="s">
        <v>141</v>
      </c>
      <c r="BH2" t="s">
        <v>93</v>
      </c>
      <c r="BI2" t="s">
        <v>110</v>
      </c>
      <c r="BJ2" t="s">
        <v>116</v>
      </c>
      <c r="BK2" t="s">
        <v>118</v>
      </c>
      <c r="BL2" t="s">
        <v>97</v>
      </c>
      <c r="BM2" t="s">
        <v>53</v>
      </c>
      <c r="BN2" t="s">
        <v>55</v>
      </c>
      <c r="BO2" t="s">
        <v>150</v>
      </c>
      <c r="BP2" t="s">
        <v>67</v>
      </c>
      <c r="BQ2" t="s">
        <v>61</v>
      </c>
      <c r="BR2" t="s">
        <v>53</v>
      </c>
      <c r="BS2" t="s">
        <v>120</v>
      </c>
      <c r="BT2" t="s">
        <v>123</v>
      </c>
      <c r="BU2" t="s">
        <v>57</v>
      </c>
      <c r="BV2" t="s">
        <v>126</v>
      </c>
      <c r="BW2" t="s">
        <v>59</v>
      </c>
      <c r="BX2" t="s">
        <v>63</v>
      </c>
      <c r="BY2" t="s">
        <v>110</v>
      </c>
      <c r="BZ2" t="s">
        <v>86</v>
      </c>
      <c r="CA2" t="s">
        <v>69</v>
      </c>
      <c r="CB2" t="s">
        <v>132</v>
      </c>
      <c r="CC2" t="s">
        <v>71</v>
      </c>
      <c r="CD2" t="s">
        <v>134</v>
      </c>
      <c r="CE2" t="s">
        <v>73</v>
      </c>
      <c r="CF2" t="s">
        <v>75</v>
      </c>
      <c r="CG2" t="s">
        <v>84</v>
      </c>
      <c r="CH2" t="s">
        <v>77</v>
      </c>
      <c r="CI2" t="s">
        <v>79</v>
      </c>
      <c r="CJ2" t="s">
        <v>55</v>
      </c>
      <c r="CK2" t="s">
        <v>65</v>
      </c>
      <c r="CL2" t="s">
        <v>81</v>
      </c>
      <c r="CM2" t="s">
        <v>141</v>
      </c>
      <c r="CN2" t="s">
        <v>65</v>
      </c>
      <c r="CO2" t="s">
        <v>84</v>
      </c>
      <c r="CP2" t="s">
        <v>61</v>
      </c>
      <c r="CQ2" t="s">
        <v>86</v>
      </c>
      <c r="CR2" t="s">
        <v>88</v>
      </c>
      <c r="CS2" t="s">
        <v>93</v>
      </c>
      <c r="CT2" t="s">
        <v>110</v>
      </c>
      <c r="CU2" t="s">
        <v>90</v>
      </c>
      <c r="CV2" t="s">
        <v>95</v>
      </c>
      <c r="CW2" t="s">
        <v>99</v>
      </c>
      <c r="CX2" t="s">
        <v>67</v>
      </c>
      <c r="CY2" t="s">
        <v>150</v>
      </c>
      <c r="CZ2" t="s">
        <v>188</v>
      </c>
    </row>
    <row r="3" spans="1:104" x14ac:dyDescent="0.3">
      <c r="A3" s="16" t="s">
        <v>6</v>
      </c>
      <c r="B3">
        <v>9</v>
      </c>
      <c r="C3">
        <v>4</v>
      </c>
      <c r="D3">
        <v>89</v>
      </c>
      <c r="E3">
        <v>182</v>
      </c>
      <c r="F3">
        <v>-19</v>
      </c>
      <c r="G3">
        <v>15</v>
      </c>
      <c r="H3">
        <v>88</v>
      </c>
      <c r="I3">
        <v>-25</v>
      </c>
      <c r="J3">
        <v>26</v>
      </c>
      <c r="K3">
        <v>4</v>
      </c>
      <c r="L3">
        <v>40</v>
      </c>
      <c r="M3">
        <v>255</v>
      </c>
      <c r="N3">
        <v>-14</v>
      </c>
      <c r="O3">
        <v>9</v>
      </c>
      <c r="P3">
        <v>195</v>
      </c>
      <c r="Q3">
        <v>30</v>
      </c>
      <c r="R3">
        <v>-1</v>
      </c>
      <c r="S3">
        <v>10</v>
      </c>
      <c r="T3">
        <v>432</v>
      </c>
      <c r="U3">
        <v>297</v>
      </c>
      <c r="V3">
        <v>71</v>
      </c>
      <c r="W3">
        <v>17</v>
      </c>
      <c r="X3">
        <v>241</v>
      </c>
      <c r="Y3">
        <v>216</v>
      </c>
      <c r="Z3">
        <v>-55</v>
      </c>
      <c r="AA3">
        <v>23</v>
      </c>
      <c r="AB3">
        <v>-25</v>
      </c>
      <c r="AC3">
        <v>89</v>
      </c>
      <c r="AD3">
        <v>79</v>
      </c>
      <c r="AE3">
        <v>16</v>
      </c>
      <c r="AF3">
        <v>9</v>
      </c>
      <c r="AG3">
        <v>195</v>
      </c>
      <c r="AH3">
        <v>-21</v>
      </c>
      <c r="AI3">
        <v>4</v>
      </c>
      <c r="AJ3">
        <v>2</v>
      </c>
      <c r="AK3">
        <v>2</v>
      </c>
      <c r="AL3">
        <v>9</v>
      </c>
      <c r="AM3">
        <v>2</v>
      </c>
      <c r="AN3">
        <v>1</v>
      </c>
      <c r="AO3">
        <v>30</v>
      </c>
      <c r="AP3">
        <v>10</v>
      </c>
      <c r="AQ3">
        <v>14</v>
      </c>
      <c r="AR3">
        <v>2</v>
      </c>
      <c r="AS3">
        <v>127</v>
      </c>
      <c r="AT3">
        <v>89</v>
      </c>
      <c r="AU3">
        <v>-99</v>
      </c>
      <c r="AV3">
        <v>15</v>
      </c>
      <c r="AW3">
        <v>165</v>
      </c>
      <c r="AX3">
        <v>-21</v>
      </c>
      <c r="AY3">
        <v>35</v>
      </c>
      <c r="AZ3">
        <v>20</v>
      </c>
      <c r="BA3">
        <v>11</v>
      </c>
      <c r="BB3">
        <v>255</v>
      </c>
      <c r="BC3">
        <v>-25</v>
      </c>
      <c r="BD3">
        <v>30</v>
      </c>
      <c r="BE3">
        <v>-6</v>
      </c>
      <c r="BF3">
        <v>195</v>
      </c>
      <c r="BG3">
        <v>-31</v>
      </c>
      <c r="BH3">
        <v>17</v>
      </c>
      <c r="BI3">
        <v>2</v>
      </c>
      <c r="BJ3">
        <v>24</v>
      </c>
      <c r="BK3">
        <v>10</v>
      </c>
      <c r="BL3">
        <v>15</v>
      </c>
      <c r="BM3">
        <v>3</v>
      </c>
      <c r="BN3">
        <v>17</v>
      </c>
      <c r="BO3">
        <v>4</v>
      </c>
      <c r="BP3">
        <v>-25</v>
      </c>
      <c r="BQ3">
        <v>-21</v>
      </c>
      <c r="BR3">
        <v>9</v>
      </c>
      <c r="BS3">
        <v>24</v>
      </c>
      <c r="BT3">
        <v>54</v>
      </c>
      <c r="BU3">
        <v>89</v>
      </c>
      <c r="BV3">
        <v>-99</v>
      </c>
      <c r="BW3">
        <v>182</v>
      </c>
      <c r="BX3">
        <v>15</v>
      </c>
      <c r="BY3">
        <v>2</v>
      </c>
      <c r="BZ3">
        <v>35</v>
      </c>
      <c r="CA3">
        <v>2</v>
      </c>
      <c r="CB3">
        <v>9</v>
      </c>
      <c r="CC3">
        <v>1</v>
      </c>
      <c r="CD3">
        <v>-33</v>
      </c>
      <c r="CE3">
        <v>2</v>
      </c>
      <c r="CF3">
        <v>255</v>
      </c>
      <c r="CG3">
        <v>165</v>
      </c>
      <c r="CH3" s="15">
        <v>1417</v>
      </c>
      <c r="CI3">
        <v>9</v>
      </c>
      <c r="CJ3">
        <v>9</v>
      </c>
      <c r="CK3">
        <v>30</v>
      </c>
      <c r="CL3">
        <v>195</v>
      </c>
      <c r="CM3">
        <v>58</v>
      </c>
      <c r="CN3">
        <v>30</v>
      </c>
      <c r="CO3">
        <v>-1</v>
      </c>
      <c r="CP3">
        <v>2</v>
      </c>
      <c r="CQ3">
        <v>35</v>
      </c>
      <c r="CR3">
        <v>10</v>
      </c>
      <c r="CS3">
        <v>17</v>
      </c>
      <c r="CT3">
        <v>2</v>
      </c>
      <c r="CU3">
        <v>3</v>
      </c>
      <c r="CV3">
        <v>28</v>
      </c>
      <c r="CW3">
        <v>-55</v>
      </c>
      <c r="CX3">
        <v>23</v>
      </c>
      <c r="CY3">
        <v>4</v>
      </c>
      <c r="CZ3">
        <v>8</v>
      </c>
    </row>
    <row r="4" spans="1:104" x14ac:dyDescent="0.3">
      <c r="A4" s="16" t="s">
        <v>51</v>
      </c>
      <c r="B4">
        <v>33</v>
      </c>
      <c r="C4">
        <v>11</v>
      </c>
      <c r="D4">
        <v>281</v>
      </c>
      <c r="E4">
        <v>388</v>
      </c>
      <c r="F4">
        <v>56</v>
      </c>
      <c r="G4">
        <v>42</v>
      </c>
      <c r="H4">
        <v>258</v>
      </c>
      <c r="I4">
        <v>58</v>
      </c>
      <c r="J4">
        <v>174</v>
      </c>
      <c r="K4">
        <v>15</v>
      </c>
      <c r="L4">
        <v>94</v>
      </c>
      <c r="M4">
        <v>601</v>
      </c>
      <c r="N4">
        <v>753</v>
      </c>
      <c r="O4">
        <v>19</v>
      </c>
      <c r="P4" s="15">
        <v>1243</v>
      </c>
      <c r="Q4">
        <v>88</v>
      </c>
      <c r="R4">
        <v>3</v>
      </c>
      <c r="S4">
        <v>20</v>
      </c>
      <c r="T4" s="15">
        <v>1843</v>
      </c>
      <c r="U4">
        <v>712</v>
      </c>
      <c r="V4">
        <v>198</v>
      </c>
      <c r="W4">
        <v>38</v>
      </c>
      <c r="X4">
        <v>830</v>
      </c>
      <c r="Y4" s="15">
        <v>1091</v>
      </c>
      <c r="Z4">
        <v>868</v>
      </c>
      <c r="AA4">
        <v>74</v>
      </c>
      <c r="AB4">
        <v>58</v>
      </c>
      <c r="AC4">
        <v>281</v>
      </c>
      <c r="AD4">
        <v>402</v>
      </c>
      <c r="AE4">
        <v>159</v>
      </c>
      <c r="AF4">
        <v>115</v>
      </c>
      <c r="AG4" s="15">
        <v>1243</v>
      </c>
      <c r="AH4">
        <v>40</v>
      </c>
      <c r="AI4">
        <v>9</v>
      </c>
      <c r="AJ4">
        <v>7</v>
      </c>
      <c r="AK4">
        <v>7</v>
      </c>
      <c r="AL4">
        <v>24</v>
      </c>
      <c r="AM4">
        <v>16</v>
      </c>
      <c r="AN4">
        <v>2</v>
      </c>
      <c r="AO4">
        <v>74</v>
      </c>
      <c r="AP4">
        <v>22</v>
      </c>
      <c r="AQ4">
        <v>79</v>
      </c>
      <c r="AR4">
        <v>16</v>
      </c>
      <c r="AS4" s="15">
        <v>1039</v>
      </c>
      <c r="AT4">
        <v>281</v>
      </c>
      <c r="AU4">
        <v>72</v>
      </c>
      <c r="AV4">
        <v>42</v>
      </c>
      <c r="AW4">
        <v>541</v>
      </c>
      <c r="AX4">
        <v>40</v>
      </c>
      <c r="AY4">
        <v>99</v>
      </c>
      <c r="AZ4">
        <v>64</v>
      </c>
      <c r="BA4">
        <v>137</v>
      </c>
      <c r="BB4">
        <v>601</v>
      </c>
      <c r="BC4">
        <v>58</v>
      </c>
      <c r="BD4">
        <v>88</v>
      </c>
      <c r="BE4">
        <v>14</v>
      </c>
      <c r="BF4" s="15">
        <v>1243</v>
      </c>
      <c r="BG4">
        <v>83</v>
      </c>
      <c r="BH4">
        <v>38</v>
      </c>
      <c r="BI4">
        <v>7</v>
      </c>
      <c r="BJ4">
        <v>54</v>
      </c>
      <c r="BK4">
        <v>22</v>
      </c>
      <c r="BL4">
        <v>55</v>
      </c>
      <c r="BM4">
        <v>6</v>
      </c>
      <c r="BN4">
        <v>38</v>
      </c>
      <c r="BO4">
        <v>10</v>
      </c>
      <c r="BP4">
        <v>58</v>
      </c>
      <c r="BQ4">
        <v>40</v>
      </c>
      <c r="BR4">
        <v>19</v>
      </c>
      <c r="BS4">
        <v>258</v>
      </c>
      <c r="BT4">
        <v>725</v>
      </c>
      <c r="BU4">
        <v>281</v>
      </c>
      <c r="BV4">
        <v>72</v>
      </c>
      <c r="BW4">
        <v>388</v>
      </c>
      <c r="BX4">
        <v>42</v>
      </c>
      <c r="BY4">
        <v>7</v>
      </c>
      <c r="BZ4">
        <v>99</v>
      </c>
      <c r="CA4">
        <v>41</v>
      </c>
      <c r="CB4">
        <v>68</v>
      </c>
      <c r="CC4">
        <v>3</v>
      </c>
      <c r="CD4">
        <v>30</v>
      </c>
      <c r="CE4">
        <v>7</v>
      </c>
      <c r="CF4">
        <v>601</v>
      </c>
      <c r="CG4">
        <v>541</v>
      </c>
      <c r="CH4" s="15">
        <v>5607</v>
      </c>
      <c r="CI4">
        <v>19</v>
      </c>
      <c r="CJ4">
        <v>19</v>
      </c>
      <c r="CK4">
        <v>88</v>
      </c>
      <c r="CL4" s="15">
        <v>1243</v>
      </c>
      <c r="CM4">
        <v>126</v>
      </c>
      <c r="CN4">
        <v>88</v>
      </c>
      <c r="CO4">
        <v>3</v>
      </c>
      <c r="CP4">
        <v>16</v>
      </c>
      <c r="CQ4">
        <v>99</v>
      </c>
      <c r="CR4">
        <v>679</v>
      </c>
      <c r="CS4">
        <v>38</v>
      </c>
      <c r="CT4">
        <v>7</v>
      </c>
      <c r="CU4">
        <v>6</v>
      </c>
      <c r="CV4">
        <v>79</v>
      </c>
      <c r="CW4">
        <v>868</v>
      </c>
      <c r="CX4">
        <v>74</v>
      </c>
      <c r="CY4">
        <v>10</v>
      </c>
      <c r="CZ4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1137-EE36-4610-9A99-DAE08D5065CA}">
  <dimension ref="A1:C22"/>
  <sheetViews>
    <sheetView workbookViewId="0">
      <selection activeCell="C16" sqref="C16:C22"/>
    </sheetView>
  </sheetViews>
  <sheetFormatPr defaultRowHeight="14.4" x14ac:dyDescent="0.3"/>
  <cols>
    <col min="1" max="1" width="16.6640625" customWidth="1"/>
    <col min="2" max="2" width="20.33203125" customWidth="1"/>
    <col min="3" max="3" width="23.44140625" customWidth="1"/>
  </cols>
  <sheetData>
    <row r="1" spans="1:3" x14ac:dyDescent="0.3">
      <c r="A1" s="16" t="s">
        <v>49</v>
      </c>
      <c r="B1" s="16" t="s">
        <v>50</v>
      </c>
      <c r="C1" s="16" t="s">
        <v>6</v>
      </c>
    </row>
    <row r="2" spans="1:3" x14ac:dyDescent="0.3">
      <c r="A2" t="s">
        <v>52</v>
      </c>
      <c r="B2" t="e">
        <f t="shared" ref="B2:B8" si="0">VLOOKUP(A2,data,2,FALSE)</f>
        <v>#NAME?</v>
      </c>
      <c r="C2" t="e">
        <f t="shared" ref="C2:C8" si="1">_xlfn.IFNA(VLOOKUP(A2,data,3,FALSE),"Order id is not available")</f>
        <v>#NAME?</v>
      </c>
    </row>
    <row r="3" spans="1:3" x14ac:dyDescent="0.3">
      <c r="A3" t="s">
        <v>72</v>
      </c>
      <c r="B3" t="e">
        <f t="shared" si="0"/>
        <v>#NAME?</v>
      </c>
      <c r="C3" t="e">
        <f t="shared" si="1"/>
        <v>#NAME?</v>
      </c>
    </row>
    <row r="4" spans="1:3" x14ac:dyDescent="0.3">
      <c r="A4" t="s">
        <v>89</v>
      </c>
      <c r="B4" t="e">
        <f t="shared" si="0"/>
        <v>#NAME?</v>
      </c>
      <c r="C4" t="e">
        <f t="shared" si="1"/>
        <v>#NAME?</v>
      </c>
    </row>
    <row r="5" spans="1:3" x14ac:dyDescent="0.3">
      <c r="A5" t="s">
        <v>94</v>
      </c>
      <c r="B5" t="e">
        <f t="shared" si="0"/>
        <v>#NAME?</v>
      </c>
      <c r="C5" t="e">
        <f t="shared" si="1"/>
        <v>#NAME?</v>
      </c>
    </row>
    <row r="6" spans="1:3" x14ac:dyDescent="0.3">
      <c r="A6" t="s">
        <v>107</v>
      </c>
      <c r="B6" t="e">
        <f t="shared" si="0"/>
        <v>#NAME?</v>
      </c>
      <c r="C6" t="e">
        <f t="shared" si="1"/>
        <v>#NAME?</v>
      </c>
    </row>
    <row r="7" spans="1:3" x14ac:dyDescent="0.3">
      <c r="A7" t="s">
        <v>187</v>
      </c>
      <c r="B7" t="e">
        <f t="shared" si="0"/>
        <v>#NAME?</v>
      </c>
      <c r="C7" t="e">
        <f t="shared" si="1"/>
        <v>#NAME?</v>
      </c>
    </row>
    <row r="8" spans="1:3" x14ac:dyDescent="0.3">
      <c r="A8" t="s">
        <v>109</v>
      </c>
      <c r="B8" t="e">
        <f t="shared" si="0"/>
        <v>#NAME?</v>
      </c>
      <c r="C8" t="e">
        <f t="shared" si="1"/>
        <v>#NAME?</v>
      </c>
    </row>
    <row r="15" spans="1:3" x14ac:dyDescent="0.3">
      <c r="A15" t="s">
        <v>49</v>
      </c>
      <c r="B15" t="s">
        <v>50</v>
      </c>
      <c r="C15" t="s">
        <v>6</v>
      </c>
    </row>
    <row r="16" spans="1:3" x14ac:dyDescent="0.3">
      <c r="A16" t="s">
        <v>52</v>
      </c>
      <c r="B16" t="str">
        <f>HLOOKUP(A16,hlookup!$A$1:$CZ$4,2,FALSE)</f>
        <v>Eugene Hildebrand</v>
      </c>
      <c r="C16">
        <f>VLOOKUP(A16,Sheet1!$A$2:$D$104,MATCH(Sheet1!C1,Sheet1!A1:D1,0),0)</f>
        <v>9</v>
      </c>
    </row>
    <row r="17" spans="1:3" x14ac:dyDescent="0.3">
      <c r="A17" t="s">
        <v>72</v>
      </c>
      <c r="B17" t="str">
        <f>HLOOKUP(A17,hlookup!$A$1:$CZ$4,2,FALSE)</f>
        <v>Alan Barnes</v>
      </c>
      <c r="C17">
        <f>VLOOKUP(A17,Sheet1!$A$2:$D$104,MATCH(Sheet1!C2,Sheet1!A2:D2,0),0)</f>
        <v>40</v>
      </c>
    </row>
    <row r="18" spans="1:3" x14ac:dyDescent="0.3">
      <c r="A18" t="s">
        <v>89</v>
      </c>
      <c r="B18" t="str">
        <f>HLOOKUP(A18,hlookup!$A$1:$CZ$4,2,FALSE)</f>
        <v>Frank Gastineau</v>
      </c>
      <c r="C18">
        <f>VLOOKUP(A18,Sheet1!$A$2:$D$104,MATCH(Sheet1!C3,Sheet1!A3:D3,0),0)</f>
        <v>297</v>
      </c>
    </row>
    <row r="19" spans="1:3" x14ac:dyDescent="0.3">
      <c r="A19" t="s">
        <v>94</v>
      </c>
      <c r="B19" t="str">
        <f>HLOOKUP(A19,hlookup!$A$1:$CZ$4,2,FALSE)</f>
        <v>Bart Pistole</v>
      </c>
      <c r="C19">
        <f>VLOOKUP(A19,Sheet1!$A$2:$D$104,MATCH(Sheet1!C4,Sheet1!A4:D4,0),0)</f>
        <v>241</v>
      </c>
    </row>
    <row r="20" spans="1:3" x14ac:dyDescent="0.3">
      <c r="A20" t="s">
        <v>107</v>
      </c>
      <c r="B20" t="str">
        <f>HLOOKUP(A20,hlookup!$A$1:$CZ$4,2,FALSE)</f>
        <v>Michael Knudson</v>
      </c>
      <c r="C20">
        <f>VLOOKUP(A20,Sheet1!$A$2:$D$104,MATCH(Sheet1!C5,Sheet1!A5:D5,0),0)</f>
        <v>-21</v>
      </c>
    </row>
    <row r="21" spans="1:3" x14ac:dyDescent="0.3">
      <c r="A21" t="s">
        <v>187</v>
      </c>
      <c r="B21" t="str">
        <f>HLOOKUP(A21,hlookup!$A$1:$CZ$4,2,FALSE)</f>
        <v>Karthick</v>
      </c>
      <c r="C21">
        <f>VLOOKUP(A21,Sheet1!$A$2:$D$104,MATCH(Sheet1!C6,Sheet1!A6:D6,0),0)</f>
        <v>8</v>
      </c>
    </row>
    <row r="22" spans="1:3" x14ac:dyDescent="0.3">
      <c r="A22" t="s">
        <v>109</v>
      </c>
      <c r="B22" t="str">
        <f>HLOOKUP(A22,hlookup!$A$1:$CZ$4,2,FALSE)</f>
        <v>Scott Cohen</v>
      </c>
      <c r="C22">
        <f>VLOOKUP(A22,Sheet1!$A$2:$D$104,MATCH(Sheet1!C7,Sheet1!A7:D7,0),0)</f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90A5-3C3A-4AAB-AF1B-096CB076D30A}">
  <dimension ref="C1:E17"/>
  <sheetViews>
    <sheetView workbookViewId="0">
      <selection activeCell="D17" sqref="D17"/>
    </sheetView>
  </sheetViews>
  <sheetFormatPr defaultRowHeight="14.4" x14ac:dyDescent="0.3"/>
  <cols>
    <col min="3" max="3" width="14" customWidth="1"/>
    <col min="4" max="4" width="12.109375" customWidth="1"/>
  </cols>
  <sheetData>
    <row r="1" spans="3:5" x14ac:dyDescent="0.3">
      <c r="C1" s="16" t="s">
        <v>189</v>
      </c>
      <c r="D1" s="16"/>
      <c r="E1" s="16" t="s">
        <v>190</v>
      </c>
    </row>
    <row r="2" spans="3:5" x14ac:dyDescent="0.3">
      <c r="C2" s="16" t="s">
        <v>191</v>
      </c>
      <c r="D2" s="16" t="s">
        <v>192</v>
      </c>
      <c r="E2" s="16" t="s">
        <v>193</v>
      </c>
    </row>
    <row r="3" spans="3:5" x14ac:dyDescent="0.3">
      <c r="C3">
        <v>1001</v>
      </c>
      <c r="D3">
        <v>2000</v>
      </c>
      <c r="E3" s="17">
        <v>0.05</v>
      </c>
    </row>
    <row r="4" spans="3:5" x14ac:dyDescent="0.3">
      <c r="C4">
        <v>2001</v>
      </c>
      <c r="D4">
        <v>5000</v>
      </c>
      <c r="E4" s="17">
        <v>0.1</v>
      </c>
    </row>
    <row r="5" spans="3:5" x14ac:dyDescent="0.3">
      <c r="C5">
        <v>5001</v>
      </c>
      <c r="D5">
        <v>10000</v>
      </c>
      <c r="E5" s="17">
        <v>0.2</v>
      </c>
    </row>
    <row r="6" spans="3:5" x14ac:dyDescent="0.3">
      <c r="C6">
        <v>10001</v>
      </c>
      <c r="D6" t="s">
        <v>194</v>
      </c>
      <c r="E6" s="17">
        <v>0.3</v>
      </c>
    </row>
    <row r="12" spans="3:5" x14ac:dyDescent="0.3">
      <c r="C12" t="s">
        <v>189</v>
      </c>
      <c r="D12" t="s">
        <v>195</v>
      </c>
    </row>
    <row r="13" spans="3:5" x14ac:dyDescent="0.3">
      <c r="C13">
        <v>1500</v>
      </c>
      <c r="D13" s="17">
        <f>VLOOKUP(C13,C3:E6,3,TRUE)</f>
        <v>0.05</v>
      </c>
    </row>
    <row r="14" spans="3:5" x14ac:dyDescent="0.3">
      <c r="C14">
        <v>2500</v>
      </c>
      <c r="D14" s="17">
        <f t="shared" ref="D14:D16" si="0">VLOOKUP(C14,C4:E7,3,TRUE)</f>
        <v>0.1</v>
      </c>
    </row>
    <row r="15" spans="3:5" x14ac:dyDescent="0.3">
      <c r="C15">
        <v>20000</v>
      </c>
      <c r="D15" s="17">
        <f t="shared" si="0"/>
        <v>0.3</v>
      </c>
    </row>
    <row r="16" spans="3:5" x14ac:dyDescent="0.3">
      <c r="C16">
        <v>10000</v>
      </c>
      <c r="D16" s="17" t="e">
        <f t="shared" si="0"/>
        <v>#N/A</v>
      </c>
    </row>
    <row r="17" spans="4:4" x14ac:dyDescent="0.3">
      <c r="D17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producttype_info</vt:lpstr>
      <vt:lpstr>lookup_data</vt:lpstr>
      <vt:lpstr>Sheet1</vt:lpstr>
      <vt:lpstr>xlookup</vt:lpstr>
      <vt:lpstr>index_match</vt:lpstr>
      <vt:lpstr>hlookup</vt:lpstr>
      <vt:lpstr>Sheet2</vt:lpstr>
      <vt:lpstr>app_match</vt:lpstr>
      <vt:lpstr>Product</vt:lpstr>
      <vt:lpstr>Product_Category</vt:lpstr>
      <vt:lpstr>Product_TypeA</vt:lpstr>
      <vt:lpstr>Profit</vt:lpstr>
      <vt:lpstr>Sales</vt:lpstr>
      <vt:lpstr>superstore_data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TR</dc:creator>
  <cp:lastModifiedBy>Karthick TR</cp:lastModifiedBy>
  <dcterms:created xsi:type="dcterms:W3CDTF">2025-11-03T14:09:17Z</dcterms:created>
  <dcterms:modified xsi:type="dcterms:W3CDTF">2025-12-31T14:58:40Z</dcterms:modified>
</cp:coreProperties>
</file>