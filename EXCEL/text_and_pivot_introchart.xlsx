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heets/sheet1.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rth\OneDrive\Desktop\Swetha\EXCEL\"/>
    </mc:Choice>
  </mc:AlternateContent>
  <xr:revisionPtr revIDLastSave="0" documentId="13_ncr:1_{AD512D5C-E5F0-4E74-A8A1-68B6A76D4381}" xr6:coauthVersionLast="47" xr6:coauthVersionMax="47" xr10:uidLastSave="{00000000-0000-0000-0000-000000000000}"/>
  <bookViews>
    <workbookView xWindow="-108" yWindow="-108" windowWidth="23256" windowHeight="12456" firstSheet="7" activeTab="13" xr2:uid="{5AA2DC20-7FED-4972-8FBA-D8745679084F}"/>
  </bookViews>
  <sheets>
    <sheet name="Sheet1" sheetId="1" r:id="rId1"/>
    <sheet name="pivot_feature" sheetId="9" r:id="rId2"/>
    <sheet name="Sheet6" sheetId="8" r:id="rId3"/>
    <sheet name="pivot_1" sheetId="3" r:id="rId4"/>
    <sheet name="pivot_2" sheetId="4" r:id="rId5"/>
    <sheet name="Sheet4" sheetId="6" r:id="rId6"/>
    <sheet name="calculative_Data" sheetId="10" r:id="rId7"/>
    <sheet name="showdata_as" sheetId="11" r:id="rId8"/>
    <sheet name="showdata_as1" sheetId="12" r:id="rId9"/>
    <sheet name="data_as_option" sheetId="13" r:id="rId10"/>
    <sheet name="filter" sheetId="14" r:id="rId11"/>
    <sheet name="report_connection" sheetId="15" r:id="rId12"/>
    <sheet name="Sales Chart" sheetId="17" r:id="rId13"/>
    <sheet name="chart_data" sheetId="16" r:id="rId14"/>
    <sheet name="pivot_table" sheetId="2" r:id="rId15"/>
  </sheets>
  <definedNames>
    <definedName name="NativeTimeline_Date">#N/A</definedName>
    <definedName name="Slicer_Product">#N/A</definedName>
    <definedName name="Slicer_Product_Type">#N/A</definedName>
  </definedNames>
  <calcPr calcId="19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9" l="1"/>
  <c r="B13" i="9"/>
  <c r="B12" i="9"/>
  <c r="D25" i="9"/>
  <c r="N4" i="1"/>
  <c r="M7" i="1"/>
  <c r="L8" i="1"/>
  <c r="K11" i="1"/>
  <c r="H3" i="1"/>
  <c r="K3" i="1" s="1"/>
  <c r="H4" i="1"/>
  <c r="M4" i="1" s="1"/>
  <c r="H5" i="1"/>
  <c r="N5" i="1" s="1"/>
  <c r="H6" i="1"/>
  <c r="O6" i="1" s="1"/>
  <c r="H7" i="1"/>
  <c r="O7" i="1" s="1"/>
  <c r="H8" i="1"/>
  <c r="M8" i="1" s="1"/>
  <c r="H9" i="1"/>
  <c r="N9" i="1" s="1"/>
  <c r="H10" i="1"/>
  <c r="O10" i="1" s="1"/>
  <c r="H11" i="1"/>
  <c r="M11" i="1" s="1"/>
  <c r="H12" i="1"/>
  <c r="M12" i="1" s="1"/>
  <c r="H13" i="1"/>
  <c r="N13" i="1" s="1"/>
  <c r="H14" i="1"/>
  <c r="O14" i="1" s="1"/>
  <c r="H2" i="1"/>
  <c r="K2" i="1" s="1"/>
  <c r="K7" i="1" l="1"/>
  <c r="L4" i="1"/>
  <c r="M3" i="1"/>
  <c r="O2" i="1"/>
  <c r="M2" i="1"/>
  <c r="N12" i="1"/>
  <c r="O11" i="1"/>
  <c r="L12" i="1"/>
  <c r="J12" i="1" s="1"/>
  <c r="N8" i="1"/>
  <c r="O13" i="1"/>
  <c r="O9" i="1"/>
  <c r="O5" i="1"/>
  <c r="K14" i="1"/>
  <c r="K10" i="1"/>
  <c r="K6" i="1"/>
  <c r="I6" i="1" s="1"/>
  <c r="L2" i="1"/>
  <c r="I2" i="1" s="1"/>
  <c r="L11" i="1"/>
  <c r="J11" i="1" s="1"/>
  <c r="L7" i="1"/>
  <c r="J7" i="1" s="1"/>
  <c r="L3" i="1"/>
  <c r="J3" i="1" s="1"/>
  <c r="I11" i="1"/>
  <c r="I7" i="1"/>
  <c r="I3" i="1"/>
  <c r="M14" i="1"/>
  <c r="M10" i="1"/>
  <c r="M6" i="1"/>
  <c r="N2" i="1"/>
  <c r="N11" i="1"/>
  <c r="N7" i="1"/>
  <c r="N3" i="1"/>
  <c r="O12" i="1"/>
  <c r="O8" i="1"/>
  <c r="O4" i="1"/>
  <c r="O3" i="1"/>
  <c r="K13" i="1"/>
  <c r="K9" i="1"/>
  <c r="I9" i="1" s="1"/>
  <c r="K5" i="1"/>
  <c r="L14" i="1"/>
  <c r="J14" i="1" s="1"/>
  <c r="L10" i="1"/>
  <c r="J10" i="1" s="1"/>
  <c r="L6" i="1"/>
  <c r="J6" i="1" s="1"/>
  <c r="I14" i="1"/>
  <c r="I10" i="1"/>
  <c r="J4" i="1"/>
  <c r="M13" i="1"/>
  <c r="M9" i="1"/>
  <c r="M5" i="1"/>
  <c r="N14" i="1"/>
  <c r="N10" i="1"/>
  <c r="N6" i="1"/>
  <c r="K12" i="1"/>
  <c r="I12" i="1" s="1"/>
  <c r="K8" i="1"/>
  <c r="I8" i="1" s="1"/>
  <c r="K4" i="1"/>
  <c r="I4" i="1" s="1"/>
  <c r="L13" i="1"/>
  <c r="J13" i="1" s="1"/>
  <c r="L9" i="1"/>
  <c r="L5" i="1"/>
  <c r="J5" i="1" s="1"/>
  <c r="I13" i="1"/>
  <c r="I5" i="1"/>
  <c r="J9" i="1" l="1"/>
  <c r="J8" i="1"/>
  <c r="J2" i="1"/>
</calcChain>
</file>

<file path=xl/sharedStrings.xml><?xml version="1.0" encoding="utf-8"?>
<sst xmlns="http://schemas.openxmlformats.org/spreadsheetml/2006/main" count="2679" uniqueCount="133">
  <si>
    <t>First Name</t>
  </si>
  <si>
    <t>Last Name</t>
  </si>
  <si>
    <t>Residing At</t>
  </si>
  <si>
    <t>Residing From</t>
  </si>
  <si>
    <t>Alen</t>
  </si>
  <si>
    <t>Susan</t>
  </si>
  <si>
    <t>Illinois</t>
  </si>
  <si>
    <t>daniel</t>
  </si>
  <si>
    <t>Cary</t>
  </si>
  <si>
    <t>Indiana</t>
  </si>
  <si>
    <t>wade</t>
  </si>
  <si>
    <t>deborah</t>
  </si>
  <si>
    <t>Iowa</t>
  </si>
  <si>
    <t>leo</t>
  </si>
  <si>
    <t>monica</t>
  </si>
  <si>
    <t>Nevada</t>
  </si>
  <si>
    <t>Jacob</t>
  </si>
  <si>
    <t>bethney</t>
  </si>
  <si>
    <t>New Hampshire</t>
  </si>
  <si>
    <t>Charlie</t>
  </si>
  <si>
    <t>Kyle</t>
  </si>
  <si>
    <t>New Jersey</t>
  </si>
  <si>
    <t>Joe</t>
  </si>
  <si>
    <t>Thomas</t>
  </si>
  <si>
    <t>New Mexico</t>
  </si>
  <si>
    <t>George</t>
  </si>
  <si>
    <t>Reece</t>
  </si>
  <si>
    <t>New York</t>
  </si>
  <si>
    <t>Jcob</t>
  </si>
  <si>
    <t>Michael</t>
  </si>
  <si>
    <t>North Carolina</t>
  </si>
  <si>
    <t>william</t>
  </si>
  <si>
    <t>thomas</t>
  </si>
  <si>
    <t>North Dakota</t>
  </si>
  <si>
    <t>Oliver</t>
  </si>
  <si>
    <t>Jake</t>
  </si>
  <si>
    <t>ohio</t>
  </si>
  <si>
    <t>Ethan</t>
  </si>
  <si>
    <t>david</t>
  </si>
  <si>
    <t>oklahoma</t>
  </si>
  <si>
    <t>richard</t>
  </si>
  <si>
    <t>viriginia</t>
  </si>
  <si>
    <t>02-26-2001</t>
  </si>
  <si>
    <t>06-19-2015</t>
  </si>
  <si>
    <t>Customer Full Name</t>
  </si>
  <si>
    <t>Position</t>
  </si>
  <si>
    <t>Length</t>
  </si>
  <si>
    <t>Uppercase</t>
  </si>
  <si>
    <t>Lowercase</t>
  </si>
  <si>
    <t>Propercase</t>
  </si>
  <si>
    <t>Area Code</t>
  </si>
  <si>
    <t>Date</t>
  </si>
  <si>
    <t>Product</t>
  </si>
  <si>
    <t>Product Line</t>
  </si>
  <si>
    <t>Product Type</t>
  </si>
  <si>
    <t>State</t>
  </si>
  <si>
    <t>Territory</t>
  </si>
  <si>
    <t>Type</t>
  </si>
  <si>
    <t>Budget Profit</t>
  </si>
  <si>
    <t>Budget Sales</t>
  </si>
  <si>
    <t>Marketing</t>
  </si>
  <si>
    <t>Profit</t>
  </si>
  <si>
    <t>Sales</t>
  </si>
  <si>
    <t>Total Expenses</t>
  </si>
  <si>
    <t>Decaf Irish Cream</t>
  </si>
  <si>
    <t>Beans</t>
  </si>
  <si>
    <t>Coffee</t>
  </si>
  <si>
    <t>Colorado</t>
  </si>
  <si>
    <t>Central</t>
  </si>
  <si>
    <t>Decaf</t>
  </si>
  <si>
    <t>Ohio</t>
  </si>
  <si>
    <t>Florida</t>
  </si>
  <si>
    <t>East</t>
  </si>
  <si>
    <t>Texas</t>
  </si>
  <si>
    <t>South</t>
  </si>
  <si>
    <t>California</t>
  </si>
  <si>
    <t>West</t>
  </si>
  <si>
    <t>Decaf Espresso</t>
  </si>
  <si>
    <t>Espresso</t>
  </si>
  <si>
    <t>Amaretto</t>
  </si>
  <si>
    <t>Regular</t>
  </si>
  <si>
    <t>Colombian</t>
  </si>
  <si>
    <t>Massachusetts</t>
  </si>
  <si>
    <t>Caffe Mocha</t>
  </si>
  <si>
    <t>Regular Espresso</t>
  </si>
  <si>
    <t>Caffe Latte</t>
  </si>
  <si>
    <t>Missouri</t>
  </si>
  <si>
    <t>Wisconsin</t>
  </si>
  <si>
    <t>Louisiana</t>
  </si>
  <si>
    <t>Oklahoma</t>
  </si>
  <si>
    <t>Oregon</t>
  </si>
  <si>
    <t>Utah</t>
  </si>
  <si>
    <t>Washington</t>
  </si>
  <si>
    <t>Connecticut</t>
  </si>
  <si>
    <t>Chamomile</t>
  </si>
  <si>
    <t>Leaves</t>
  </si>
  <si>
    <t>Herbal Tea</t>
  </si>
  <si>
    <t>Lemon</t>
  </si>
  <si>
    <t>Mint</t>
  </si>
  <si>
    <t>Darjeeling</t>
  </si>
  <si>
    <t>Tea</t>
  </si>
  <si>
    <t>Earl Grey</t>
  </si>
  <si>
    <t>Green Tea</t>
  </si>
  <si>
    <t>Row Labels</t>
  </si>
  <si>
    <t>Grand Total</t>
  </si>
  <si>
    <t>Column Labels</t>
  </si>
  <si>
    <t>Sum of Profit</t>
  </si>
  <si>
    <t>Coffee Total</t>
  </si>
  <si>
    <t>Espresso Total</t>
  </si>
  <si>
    <t>Herbal Tea Total</t>
  </si>
  <si>
    <t>Tea Total</t>
  </si>
  <si>
    <t>Sum of Sales</t>
  </si>
  <si>
    <t>Actual Profit</t>
  </si>
  <si>
    <t>Target Profit</t>
  </si>
  <si>
    <t>Actual Sales</t>
  </si>
  <si>
    <t>Target Sales</t>
  </si>
  <si>
    <t>Max of Profit</t>
  </si>
  <si>
    <t>Average of Profit</t>
  </si>
  <si>
    <t>Min of Profit</t>
  </si>
  <si>
    <t>Jan</t>
  </si>
  <si>
    <t>Feb</t>
  </si>
  <si>
    <t>&lt;01-01-2022</t>
  </si>
  <si>
    <t>jan</t>
  </si>
  <si>
    <t>feb</t>
  </si>
  <si>
    <t>product</t>
  </si>
  <si>
    <t>Actual Sale</t>
  </si>
  <si>
    <t>Target Sale</t>
  </si>
  <si>
    <t>Sum of Difference in Sales</t>
  </si>
  <si>
    <t>Sum of Percentage</t>
  </si>
  <si>
    <t>Running Total</t>
  </si>
  <si>
    <t>2022</t>
  </si>
  <si>
    <t>Qtr1</t>
  </si>
  <si>
    <t>Sum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</si>
</sst>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5" formatCode="[$$-409]#,##0_ ;[Red]\-[$$-409]#,##0\ "/>
  </numFmts>
  <fonts count="6" x14ac:knownFonts="1">
    <font>
      <sz val="11"/>
      <color theme="1"/>
      <name val="Calibri"/>
      <family val="2"/>
      <scheme val="minor"/>
    </font>
    <font>
      <sz val="14"/>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sz val="8"/>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14" fontId="1" fillId="0" borderId="0" xfId="0" applyNumberFormat="1" applyFont="1"/>
    <xf numFmtId="14" fontId="1" fillId="0" borderId="0" xfId="0" applyNumberFormat="1" applyFont="1" applyAlignment="1">
      <alignment horizontal="right"/>
    </xf>
    <xf numFmtId="0" fontId="3" fillId="0" borderId="0" xfId="0" applyFont="1"/>
    <xf numFmtId="14" fontId="3" fillId="0" borderId="0" xfId="0" applyNumberFormat="1" applyFont="1"/>
    <xf numFmtId="14" fontId="0" fillId="0" borderId="0" xfId="0" applyNumberFormat="1"/>
    <xf numFmtId="0" fontId="2" fillId="0" borderId="0" xfId="0" applyFont="1"/>
    <xf numFmtId="1" fontId="3" fillId="0" borderId="0" xfId="0" applyNumberFormat="1" applyFont="1"/>
    <xf numFmtId="1" fontId="1" fillId="0" borderId="0" xfId="0" applyNumberFormat="1" applyFont="1"/>
    <xf numFmtId="1" fontId="0" fillId="0" borderId="0" xfId="0" applyNumberFormat="1"/>
    <xf numFmtId="49" fontId="3" fillId="0" borderId="0" xfId="0" applyNumberFormat="1" applyFont="1"/>
    <xf numFmtId="49" fontId="1" fillId="0" borderId="0" xfId="0" applyNumberFormat="1" applyFont="1"/>
    <xf numFmtId="164" fontId="3" fillId="0" borderId="0" xfId="0" applyNumberFormat="1" applyFont="1"/>
    <xf numFmtId="164" fontId="1" fillId="0" borderId="0" xfId="0" applyNumberFormat="1" applyFont="1"/>
    <xf numFmtId="0" fontId="4"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49" fontId="0" fillId="0" borderId="0" xfId="0" applyNumberFormat="1"/>
    <xf numFmtId="0" fontId="0" fillId="2" borderId="0" xfId="0" applyFill="1"/>
    <xf numFmtId="0" fontId="1" fillId="0" borderId="0" xfId="0" pivotButton="1" applyFont="1"/>
    <xf numFmtId="0" fontId="1" fillId="0" borderId="0" xfId="0" applyFont="1" applyAlignment="1">
      <alignment horizontal="left"/>
    </xf>
    <xf numFmtId="9" fontId="1" fillId="0" borderId="0" xfId="0" applyNumberFormat="1" applyFont="1"/>
    <xf numFmtId="0" fontId="2" fillId="3" borderId="0" xfId="0" applyFont="1" applyFill="1" applyAlignment="1">
      <alignment horizontal="center"/>
    </xf>
  </cellXfs>
  <cellStyles count="1">
    <cellStyle name="Normal" xfId="0" builtinId="0"/>
  </cellStyles>
  <dxfs count="47">
    <dxf>
      <font>
        <b val="0"/>
        <i val="0"/>
        <strike val="0"/>
        <condense val="0"/>
        <extend val="0"/>
        <outline val="0"/>
        <shadow val="0"/>
        <u val="none"/>
        <vertAlign val="baseline"/>
        <sz val="14"/>
        <color theme="1"/>
        <name val="Calibri"/>
        <family val="2"/>
        <scheme val="minor"/>
      </font>
      <numFmt numFmtId="164" formatCode="_-[$$-409]* #,##0_ ;_-[$$-409]* \-#,##0\ ;_-[$$-409]* &quot;-&quot;??_ ;_-@_ "/>
    </dxf>
    <dxf>
      <font>
        <b val="0"/>
        <i val="0"/>
        <strike val="0"/>
        <condense val="0"/>
        <extend val="0"/>
        <outline val="0"/>
        <shadow val="0"/>
        <u val="none"/>
        <vertAlign val="baseline"/>
        <sz val="14"/>
        <color theme="1"/>
        <name val="Calibri"/>
        <family val="2"/>
        <scheme val="minor"/>
      </font>
      <numFmt numFmtId="164" formatCode="_-[$$-409]* #,##0_ ;_-[$$-409]* \-#,##0\ ;_-[$$-409]* &quot;-&quot;??_ ;_-@_ "/>
    </dxf>
    <dxf>
      <font>
        <b val="0"/>
        <i val="0"/>
        <strike val="0"/>
        <condense val="0"/>
        <extend val="0"/>
        <outline val="0"/>
        <shadow val="0"/>
        <u val="none"/>
        <vertAlign val="baseline"/>
        <sz val="14"/>
        <color theme="1"/>
        <name val="Calibri"/>
        <family val="2"/>
        <scheme val="minor"/>
      </font>
      <numFmt numFmtId="164" formatCode="_-[$$-409]* #,##0_ ;_-[$$-409]* \-#,##0\ ;_-[$$-409]* &quot;-&quot;??_ ;_-@_ "/>
    </dxf>
    <dxf>
      <font>
        <b val="0"/>
        <i val="0"/>
        <strike val="0"/>
        <condense val="0"/>
        <extend val="0"/>
        <outline val="0"/>
        <shadow val="0"/>
        <u val="none"/>
        <vertAlign val="baseline"/>
        <sz val="14"/>
        <color theme="1"/>
        <name val="Calibri"/>
        <family val="2"/>
        <scheme val="minor"/>
      </font>
      <numFmt numFmtId="164" formatCode="_-[$$-409]* #,##0_ ;_-[$$-409]* \-#,##0\ ;_-[$$-409]* &quot;-&quot;??_ ;_-@_ "/>
    </dxf>
    <dxf>
      <font>
        <b val="0"/>
        <i val="0"/>
        <strike val="0"/>
        <condense val="0"/>
        <extend val="0"/>
        <outline val="0"/>
        <shadow val="0"/>
        <u val="none"/>
        <vertAlign val="baseline"/>
        <sz val="14"/>
        <color theme="1"/>
        <name val="Calibri"/>
        <family val="2"/>
        <scheme val="minor"/>
      </font>
      <numFmt numFmtId="164" formatCode="_-[$$-409]* #,##0_ ;_-[$$-409]* \-#,##0\ ;_-[$$-409]* &quot;-&quot;??_ ;_-@_ "/>
    </dxf>
    <dxf>
      <font>
        <b val="0"/>
        <i val="0"/>
        <strike val="0"/>
        <condense val="0"/>
        <extend val="0"/>
        <outline val="0"/>
        <shadow val="0"/>
        <u val="none"/>
        <vertAlign val="baseline"/>
        <sz val="14"/>
        <color theme="1"/>
        <name val="Calibri"/>
        <family val="2"/>
        <scheme val="minor"/>
      </font>
      <numFmt numFmtId="164" formatCode="_-[$$-409]* #,##0_ ;_-[$$-409]* \-#,##0\ ;_-[$$-409]* &quot;-&quot;??_ ;_-@_ "/>
    </dxf>
    <dxf>
      <font>
        <b val="0"/>
        <i val="0"/>
        <strike val="0"/>
        <condense val="0"/>
        <extend val="0"/>
        <outline val="0"/>
        <shadow val="0"/>
        <u val="none"/>
        <vertAlign val="baseline"/>
        <sz val="14"/>
        <color theme="1"/>
        <name val="Calibri"/>
        <family val="2"/>
        <scheme val="minor"/>
      </font>
      <numFmt numFmtId="30" formatCode="@"/>
    </dxf>
    <dxf>
      <font>
        <b val="0"/>
        <i val="0"/>
        <strike val="0"/>
        <condense val="0"/>
        <extend val="0"/>
        <outline val="0"/>
        <shadow val="0"/>
        <u val="none"/>
        <vertAlign val="baseline"/>
        <sz val="14"/>
        <color theme="1"/>
        <name val="Calibri"/>
        <family val="2"/>
        <scheme val="minor"/>
      </font>
      <numFmt numFmtId="30" formatCode="@"/>
    </dxf>
    <dxf>
      <font>
        <b val="0"/>
        <i val="0"/>
        <strike val="0"/>
        <condense val="0"/>
        <extend val="0"/>
        <outline val="0"/>
        <shadow val="0"/>
        <u val="none"/>
        <vertAlign val="baseline"/>
        <sz val="14"/>
        <color theme="1"/>
        <name val="Calibri"/>
        <family val="2"/>
        <scheme val="minor"/>
      </font>
      <numFmt numFmtId="30" formatCode="@"/>
    </dxf>
    <dxf>
      <font>
        <b val="0"/>
        <i val="0"/>
        <strike val="0"/>
        <condense val="0"/>
        <extend val="0"/>
        <outline val="0"/>
        <shadow val="0"/>
        <u val="none"/>
        <vertAlign val="baseline"/>
        <sz val="14"/>
        <color theme="1"/>
        <name val="Calibri"/>
        <family val="2"/>
        <scheme val="minor"/>
      </font>
      <numFmt numFmtId="30" formatCode="@"/>
    </dxf>
    <dxf>
      <font>
        <b val="0"/>
        <i val="0"/>
        <strike val="0"/>
        <condense val="0"/>
        <extend val="0"/>
        <outline val="0"/>
        <shadow val="0"/>
        <u val="none"/>
        <vertAlign val="baseline"/>
        <sz val="14"/>
        <color theme="1"/>
        <name val="Calibri"/>
        <family val="2"/>
        <scheme val="minor"/>
      </font>
      <numFmt numFmtId="30" formatCode="@"/>
    </dxf>
    <dxf>
      <font>
        <b val="0"/>
        <i val="0"/>
        <strike val="0"/>
        <condense val="0"/>
        <extend val="0"/>
        <outline val="0"/>
        <shadow val="0"/>
        <u val="none"/>
        <vertAlign val="baseline"/>
        <sz val="14"/>
        <color theme="1"/>
        <name val="Calibri"/>
        <family val="2"/>
        <scheme val="minor"/>
      </font>
      <numFmt numFmtId="30" formatCode="@"/>
    </dxf>
    <dxf>
      <font>
        <b val="0"/>
        <i val="0"/>
        <strike val="0"/>
        <condense val="0"/>
        <extend val="0"/>
        <outline val="0"/>
        <shadow val="0"/>
        <u val="none"/>
        <vertAlign val="baseline"/>
        <sz val="14"/>
        <color theme="1"/>
        <name val="Calibri"/>
        <family val="2"/>
        <scheme val="minor"/>
      </font>
      <numFmt numFmtId="19" formatCode="dd/mm/yyyy"/>
    </dxf>
    <dxf>
      <font>
        <b val="0"/>
        <i val="0"/>
        <strike val="0"/>
        <condense val="0"/>
        <extend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4"/>
        <color theme="1"/>
        <name val="Calibri"/>
        <family val="2"/>
        <scheme val="minor"/>
      </font>
      <numFmt numFmtId="164" formatCode="_-[$$-409]* #,##0_ ;_-[$$-409]* \-#,##0\ ;_-[$$-409]* &quot;-&quot;??_ ;_-@_ "/>
    </dxf>
    <dxf>
      <numFmt numFmtId="13" formatCode="0%"/>
    </dxf>
    <dxf>
      <font>
        <sz val="14"/>
      </font>
    </dxf>
    <dxf>
      <numFmt numFmtId="165" formatCode="[$$-409]#,##0_ ;[Red]\-[$$-409]#,##0\ "/>
    </dxf>
    <dxf>
      <numFmt numFmtId="165" formatCode="[$$-409]#,##0_ ;[Red]\-[$$-409]#,##0\ "/>
    </dxf>
    <dxf>
      <numFmt numFmtId="165" formatCode="[$$-409]#,##0_ ;[Red]\-[$$-409]#,##0\ "/>
    </dxf>
    <dxf>
      <numFmt numFmtId="166"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 formatCode="0"/>
    </dxf>
    <dxf>
      <numFmt numFmtId="164" formatCode="_-[$$-409]* #,##0_ ;_-[$$-409]* \-#,##0\ ;_-[$$-409]* &quot;-&quot;??_ ;_-@_ "/>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19" formatCode="dd/mm/yyyy"/>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1.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chart_data!$A$2:$A$14</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chart_data!$B$2:$B$14</c:f>
              <c:numCache>
                <c:formatCode>_-[$$-409]* #,##0_ ;_-[$$-409]* \-#,##0\ ;_-[$$-409]* "-"??_ ;_-@_ </c:formatCode>
                <c:ptCount val="13"/>
                <c:pt idx="0">
                  <c:v>1465</c:v>
                </c:pt>
                <c:pt idx="1">
                  <c:v>1478</c:v>
                </c:pt>
                <c:pt idx="2">
                  <c:v>3220</c:v>
                </c:pt>
                <c:pt idx="3">
                  <c:v>2960</c:v>
                </c:pt>
                <c:pt idx="4">
                  <c:v>7312</c:v>
                </c:pt>
                <c:pt idx="5">
                  <c:v>2839</c:v>
                </c:pt>
                <c:pt idx="6">
                  <c:v>4814</c:v>
                </c:pt>
                <c:pt idx="7">
                  <c:v>3739</c:v>
                </c:pt>
                <c:pt idx="8">
                  <c:v>2562</c:v>
                </c:pt>
                <c:pt idx="9">
                  <c:v>1250</c:v>
                </c:pt>
                <c:pt idx="10">
                  <c:v>3517</c:v>
                </c:pt>
                <c:pt idx="11">
                  <c:v>1397</c:v>
                </c:pt>
                <c:pt idx="12">
                  <c:v>896</c:v>
                </c:pt>
              </c:numCache>
            </c:numRef>
          </c:val>
          <c:extLst>
            <c:ext xmlns:c16="http://schemas.microsoft.com/office/drawing/2014/chart" uri="{C3380CC4-5D6E-409C-BE32-E72D297353CC}">
              <c16:uniqueId val="{00000000-0D22-41B7-8E09-D9E329BBD431}"/>
            </c:ext>
          </c:extLst>
        </c:ser>
        <c:dLbls>
          <c:dLblPos val="ctr"/>
          <c:showLegendKey val="0"/>
          <c:showVal val="1"/>
          <c:showCatName val="0"/>
          <c:showSerName val="0"/>
          <c:showPercent val="0"/>
          <c:showBubbleSize val="0"/>
        </c:dLbls>
        <c:gapWidth val="115"/>
        <c:overlap val="-20"/>
        <c:axId val="908199887"/>
        <c:axId val="908201327"/>
      </c:barChart>
      <c:catAx>
        <c:axId val="90819988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201327"/>
        <c:crosses val="autoZero"/>
        <c:auto val="1"/>
        <c:lblAlgn val="ctr"/>
        <c:lblOffset val="100"/>
        <c:noMultiLvlLbl val="0"/>
      </c:catAx>
      <c:valAx>
        <c:axId val="90820132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Sales Range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19988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FB8042D-5402-4ED1-A95F-3FD9EA75C74E}">
  <sheetPr/>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175260</xdr:colOff>
      <xdr:row>2</xdr:row>
      <xdr:rowOff>15240</xdr:rowOff>
    </xdr:from>
    <xdr:to>
      <xdr:col>9</xdr:col>
      <xdr:colOff>175260</xdr:colOff>
      <xdr:row>15</xdr:row>
      <xdr:rowOff>104775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A165AEA8-CE1E-CB7F-20C8-8C4889FA18F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8066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449580</xdr:colOff>
      <xdr:row>1</xdr:row>
      <xdr:rowOff>144780</xdr:rowOff>
    </xdr:from>
    <xdr:to>
      <xdr:col>12</xdr:col>
      <xdr:colOff>449580</xdr:colOff>
      <xdr:row>15</xdr:row>
      <xdr:rowOff>51435</xdr:rowOff>
    </xdr:to>
    <mc:AlternateContent xmlns:mc="http://schemas.openxmlformats.org/markup-compatibility/2006" xmlns:a14="http://schemas.microsoft.com/office/drawing/2010/main">
      <mc:Choice Requires="a14">
        <xdr:graphicFrame macro="">
          <xdr:nvGraphicFramePr>
            <xdr:cNvPr id="3" name="Product Type">
              <a:extLst>
                <a:ext uri="{FF2B5EF4-FFF2-40B4-BE49-F238E27FC236}">
                  <a16:creationId xmlns:a16="http://schemas.microsoft.com/office/drawing/2014/main" id="{306D1452-D9CB-8C7A-8125-8886594C2EAF}"/>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738378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220980</xdr:colOff>
      <xdr:row>16</xdr:row>
      <xdr:rowOff>15240</xdr:rowOff>
    </xdr:from>
    <xdr:to>
      <xdr:col>13</xdr:col>
      <xdr:colOff>312420</xdr:colOff>
      <xdr:row>23</xdr:row>
      <xdr:rowOff>106680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A0F52932-3D60-E0F8-2462-AA4690C80E0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326380" y="2941320"/>
              <a:ext cx="43586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9291205" cy="6070023"/>
    <xdr:graphicFrame macro="">
      <xdr:nvGraphicFramePr>
        <xdr:cNvPr id="2" name="Chart 1">
          <a:extLst>
            <a:ext uri="{FF2B5EF4-FFF2-40B4-BE49-F238E27FC236}">
              <a16:creationId xmlns:a16="http://schemas.microsoft.com/office/drawing/2014/main" id="{25B5C088-BECE-CB12-C562-64BAFEE2A38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ck TR" refreshedDate="46023.819437500002" createdVersion="8" refreshedVersion="8" minRefreshableVersion="3" recordCount="199" xr:uid="{6D181A9E-A06B-4DF8-A1E4-200F585EF4E0}">
  <cacheSource type="worksheet">
    <worksheetSource name="pivot_table"/>
  </cacheSource>
  <cacheFields count="20">
    <cacheField name="Area Code" numFmtId="1">
      <sharedItems containsSemiMixedTypes="0" containsString="0" containsNumber="1" containsInteger="1" minValue="206" maxValue="985"/>
    </cacheField>
    <cacheField name="Date" numFmtId="14">
      <sharedItems containsSemiMixedTypes="0" containsNonDate="0" containsDate="1" containsString="0" minDate="2022-01-01T00:00:00" maxDate="2022-02-02T00:00:00" count="2">
        <d v="2022-01-01T00:00:00"/>
        <d v="2022-02-01T00:00:00"/>
      </sharedItems>
      <fieldGroup par="17"/>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acheField>
    <cacheField name="Product Type" numFmtId="49">
      <sharedItems count="4">
        <s v="Coffee"/>
        <s v="Espresso"/>
        <s v="Herbal Tea"/>
        <s v="Tea"/>
      </sharedItems>
    </cacheField>
    <cacheField name="State" numFmtId="49">
      <sharedItems/>
    </cacheField>
    <cacheField name="Territory" numFmtId="49">
      <sharedItems count="4">
        <s v="Central"/>
        <s v="East"/>
        <s v="South"/>
        <s v="West"/>
      </sharedItems>
    </cacheField>
    <cacheField name="Type" numFmtId="49">
      <sharedItems/>
    </cacheField>
    <cacheField name="Budget Profit" numFmtId="164">
      <sharedItems containsSemiMixedTypes="0" containsString="0" containsNumber="1" containsInteger="1" minValue="-240" maxValue="370"/>
    </cacheField>
    <cacheField name="Budget Sales" numFmtId="164">
      <sharedItems containsSemiMixedTypes="0" containsString="0" containsNumber="1" containsInteger="1" minValue="0" maxValue="840"/>
    </cacheField>
    <cacheField name="Marketing" numFmtId="164">
      <sharedItems containsSemiMixedTypes="0" containsString="0" containsNumber="1" containsInteger="1" minValue="4" maxValue="95"/>
    </cacheField>
    <cacheField name="Profit" numFmtId="164">
      <sharedItems containsSemiMixedTypes="0" containsString="0" containsNumber="1" containsInteger="1" minValue="-172" maxValue="367"/>
    </cacheField>
    <cacheField name="Sales" numFmtId="164">
      <sharedItems containsSemiMixedTypes="0" containsString="0" containsNumber="1" containsInteger="1" minValue="17" maxValue="678" count="63">
        <n v="234"/>
        <n v="150"/>
        <n v="200"/>
        <n v="190"/>
        <n v="118"/>
        <n v="180"/>
        <n v="456"/>
        <n v="130"/>
        <n v="134"/>
        <n v="546"/>
        <n v="219"/>
        <n v="140"/>
        <n v="345"/>
        <n v="210"/>
        <n v="494"/>
        <n v="678"/>
        <n v="452"/>
        <n v="145"/>
        <n v="341"/>
        <n v="126"/>
        <n v="61"/>
        <n v="490"/>
        <n v="250"/>
        <n v="54"/>
        <n v="170"/>
        <n v="81"/>
        <n v="99"/>
        <n v="80"/>
        <n v="62"/>
        <n v="43"/>
        <n v="114"/>
        <n v="110"/>
        <n v="82"/>
        <n v="123"/>
        <n v="45"/>
        <n v="120"/>
        <n v="93"/>
        <n v="310"/>
        <n v="85"/>
        <n v="100"/>
        <n v="76"/>
        <n v="160"/>
        <n v="90"/>
        <n v="65"/>
        <n v="112"/>
        <n v="483"/>
        <n v="94"/>
        <n v="17"/>
        <n v="232"/>
        <n v="254"/>
        <n v="129"/>
        <n v="206"/>
        <n v="122"/>
        <n v="189"/>
        <n v="457"/>
        <n v="132"/>
        <n v="545"/>
        <n v="243"/>
        <n v="354"/>
        <n v="128"/>
        <n v="470"/>
        <n v="645"/>
        <n v="465"/>
      </sharedItems>
    </cacheField>
    <cacheField name="Total Expenses" numFmtId="164">
      <sharedItems containsSemiMixedTypes="0" containsString="0" containsNumber="1" containsInteger="1" minValue="15" maxValue="145"/>
    </cacheField>
    <cacheField name="Days (Date)" numFmtId="0" databaseField="0">
      <fieldGroup base="1">
        <rangePr groupBy="days" startDate="2022-01-01T00:00:00" endDate="2022-02-02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2-2022"/>
        </groupItems>
      </fieldGroup>
    </cacheField>
    <cacheField name="Months (Date)" numFmtId="0" databaseField="0">
      <fieldGroup base="1">
        <rangePr groupBy="months" startDate="2022-01-01T00:00:00" endDate="2022-02-02T00:00:00"/>
        <groupItems count="14">
          <s v="&lt;01-01-2022"/>
          <s v="Jan"/>
          <s v="Feb"/>
          <s v="Mar"/>
          <s v="Apr"/>
          <s v="May"/>
          <s v="Jun"/>
          <s v="Jul"/>
          <s v="Aug"/>
          <s v="Sep"/>
          <s v="Oct"/>
          <s v="Nov"/>
          <s v="Dec"/>
          <s v="&gt;02-02-2022"/>
        </groupItems>
      </fieldGroup>
    </cacheField>
    <cacheField name="Quarters (Date)" numFmtId="0" databaseField="0">
      <fieldGroup base="1">
        <rangePr groupBy="quarters" startDate="2022-01-01T00:00:00" endDate="2022-02-02T00:00:00"/>
        <groupItems count="6">
          <s v="&lt;01-01-2022"/>
          <s v="Qtr1"/>
          <s v="Qtr2"/>
          <s v="Qtr3"/>
          <s v="Qtr4"/>
          <s v="&gt;02-02-2022"/>
        </groupItems>
      </fieldGroup>
    </cacheField>
    <cacheField name="Years (Date)" numFmtId="0" databaseField="0">
      <fieldGroup base="1">
        <rangePr groupBy="years" startDate="2022-01-01T00:00:00" endDate="2022-02-02T00:00:00"/>
        <groupItems count="3">
          <s v="&lt;01-01-2022"/>
          <s v="2022"/>
          <s v="&gt;02-02-2022"/>
        </groupItems>
      </fieldGroup>
    </cacheField>
    <cacheField name="Difference in Sales" numFmtId="0" formula=" (Profit-'Budget Profit')" databaseField="0"/>
    <cacheField name="Percentage" numFmtId="0" formula="(Profit-'Budget Profit')/Profit" databaseField="0"/>
  </cacheFields>
  <extLst>
    <ext xmlns:x14="http://schemas.microsoft.com/office/spreadsheetml/2009/9/main" uri="{725AE2AE-9491-48be-B2B4-4EB974FC3084}">
      <x14:pivotCacheDefinition pivotCacheId="4457861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ck TR" refreshedDate="46027.814102430559" createdVersion="8" refreshedVersion="8" minRefreshableVersion="3" recordCount="200" xr:uid="{05C7BFDA-D280-4DA8-81B5-8D604ACA69C9}">
  <cacheSource type="worksheet">
    <worksheetSource ref="A1:N1048576" sheet="pivot_table"/>
  </cacheSource>
  <cacheFields count="15">
    <cacheField name="Area Code" numFmtId="1">
      <sharedItems containsString="0" containsBlank="1" containsNumber="1" containsInteger="1" minValue="206" maxValue="985"/>
    </cacheField>
    <cacheField name="Date" numFmtId="14">
      <sharedItems containsNonDate="0" containsDate="1" containsString="0" containsBlank="1" minDate="2022-01-01T00:00:00" maxDate="2022-02-02T00:00:00" count="3">
        <d v="2022-01-01T00:00:00"/>
        <d v="2022-02-01T00:00:00"/>
        <m/>
      </sharedItems>
      <fieldGroup par="14"/>
    </cacheField>
    <cacheField name="Product" numFmtId="0">
      <sharedItems containsBlank="1"/>
    </cacheField>
    <cacheField name="Product Line" numFmtId="0">
      <sharedItems containsBlank="1"/>
    </cacheField>
    <cacheField name="Product Type" numFmtId="0">
      <sharedItems containsBlank="1"/>
    </cacheField>
    <cacheField name="State" numFmtId="0">
      <sharedItems containsBlank="1"/>
    </cacheField>
    <cacheField name="Territory" numFmtId="0">
      <sharedItems containsBlank="1"/>
    </cacheField>
    <cacheField name="Type" numFmtId="0">
      <sharedItems containsBlank="1"/>
    </cacheField>
    <cacheField name="Budget Profit" numFmtId="0">
      <sharedItems containsString="0" containsBlank="1" containsNumber="1" containsInteger="1" minValue="-240" maxValue="370"/>
    </cacheField>
    <cacheField name="Budget Sales" numFmtId="0">
      <sharedItems containsString="0" containsBlank="1" containsNumber="1" containsInteger="1" minValue="0" maxValue="840"/>
    </cacheField>
    <cacheField name="Marketing" numFmtId="0">
      <sharedItems containsString="0" containsBlank="1" containsNumber="1" containsInteger="1" minValue="4" maxValue="95"/>
    </cacheField>
    <cacheField name="Profit" numFmtId="0">
      <sharedItems containsString="0" containsBlank="1" containsNumber="1" containsInteger="1" minValue="-172" maxValue="367"/>
    </cacheField>
    <cacheField name="Sales" numFmtId="0">
      <sharedItems containsString="0" containsBlank="1" containsNumber="1" containsInteger="1" minValue="17" maxValue="678"/>
    </cacheField>
    <cacheField name="Total Expenses" numFmtId="0">
      <sharedItems containsString="0" containsBlank="1" containsNumber="1" containsInteger="1" minValue="15" maxValue="145"/>
    </cacheField>
    <cacheField name="Months (Date)" numFmtId="0" databaseField="0">
      <fieldGroup base="1">
        <rangePr groupBy="months" startDate="2022-01-01T00:00:00" endDate="2022-02-02T00:00:00"/>
        <groupItems count="14">
          <s v="&lt;01-01-2022"/>
          <s v="Jan"/>
          <s v="Feb"/>
          <s v="Mar"/>
          <s v="Apr"/>
          <s v="May"/>
          <s v="Jun"/>
          <s v="Jul"/>
          <s v="Aug"/>
          <s v="Sep"/>
          <s v="Oct"/>
          <s v="Nov"/>
          <s v="Dec"/>
          <s v="&gt;02-0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ck TR" refreshedDate="46027.825368171296" createdVersion="8" refreshedVersion="8" minRefreshableVersion="3" recordCount="199" xr:uid="{7C01D317-7ADD-4ADD-B55C-F69E870DF5B7}">
  <cacheSource type="worksheet">
    <worksheetSource name="pivottable_feature"/>
  </cacheSource>
  <cacheFields count="15">
    <cacheField name="Area Code" numFmtId="1">
      <sharedItems containsSemiMixedTypes="0" containsString="0" containsNumber="1" containsInteger="1" minValue="206" maxValue="985"/>
    </cacheField>
    <cacheField name="Date" numFmtId="14">
      <sharedItems containsSemiMixedTypes="0" containsNonDate="0" containsDate="1" containsString="0" minDate="2022-01-01T00:00:00" maxDate="2022-02-02T00:00:00" count="2">
        <d v="2022-01-01T00:00:00"/>
        <d v="2022-02-01T00:00:00"/>
      </sharedItems>
      <fieldGroup par="14"/>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acheField>
    <cacheField name="Product Type" numFmtId="49">
      <sharedItems/>
    </cacheField>
    <cacheField name="State" numFmtId="49">
      <sharedItems/>
    </cacheField>
    <cacheField name="Territory" numFmtId="49">
      <sharedItems/>
    </cacheField>
    <cacheField name="Type" numFmtId="49">
      <sharedItems/>
    </cacheField>
    <cacheField name="Budget Profit" numFmtId="164">
      <sharedItems containsSemiMixedTypes="0" containsString="0" containsNumber="1" containsInteger="1" minValue="-240" maxValue="370"/>
    </cacheField>
    <cacheField name="Budget Sales" numFmtId="164">
      <sharedItems containsSemiMixedTypes="0" containsString="0" containsNumber="1" containsInteger="1" minValue="0" maxValue="840"/>
    </cacheField>
    <cacheField name="Marketing" numFmtId="164">
      <sharedItems containsSemiMixedTypes="0" containsString="0" containsNumber="1" containsInteger="1" minValue="4" maxValue="95"/>
    </cacheField>
    <cacheField name="Profit" numFmtId="164">
      <sharedItems containsSemiMixedTypes="0" containsString="0" containsNumber="1" containsInteger="1" minValue="-172" maxValue="367"/>
    </cacheField>
    <cacheField name="Sales" numFmtId="164">
      <sharedItems containsSemiMixedTypes="0" containsString="0" containsNumber="1" containsInteger="1" minValue="17" maxValue="678"/>
    </cacheField>
    <cacheField name="Total Expenses" numFmtId="164">
      <sharedItems containsSemiMixedTypes="0" containsString="0" containsNumber="1" containsInteger="1" minValue="15" maxValue="145"/>
    </cacheField>
    <cacheField name="Months (Date)" numFmtId="0" databaseField="0">
      <fieldGroup base="1">
        <rangePr groupBy="months" startDate="2022-01-01T00:00:00" endDate="2022-02-02T00:00:00"/>
        <groupItems count="14">
          <s v="&lt;01-01-2022"/>
          <s v="Jan"/>
          <s v="Feb"/>
          <s v="Mar"/>
          <s v="Apr"/>
          <s v="May"/>
          <s v="Jun"/>
          <s v="Jul"/>
          <s v="Aug"/>
          <s v="Sep"/>
          <s v="Oct"/>
          <s v="Nov"/>
          <s v="Dec"/>
          <s v="&gt;02-0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970"/>
    <x v="0"/>
    <x v="0"/>
    <s v="Beans"/>
    <x v="0"/>
    <s v="Colorado"/>
    <x v="0"/>
    <s v="Decaf"/>
    <n v="110"/>
    <n v="240"/>
    <n v="26"/>
    <n v="101"/>
    <x v="0"/>
    <n v="38"/>
  </r>
  <r>
    <n v="970"/>
    <x v="0"/>
    <x v="0"/>
    <s v="Beans"/>
    <x v="0"/>
    <s v="Colorado"/>
    <x v="0"/>
    <s v="Decaf"/>
    <n v="110"/>
    <n v="240"/>
    <n v="26"/>
    <n v="101"/>
    <x v="0"/>
    <n v="38"/>
  </r>
  <r>
    <n v="309"/>
    <x v="0"/>
    <x v="0"/>
    <s v="Beans"/>
    <x v="0"/>
    <s v="Illinois"/>
    <x v="0"/>
    <s v="Decaf"/>
    <n v="100"/>
    <n v="240"/>
    <n v="30"/>
    <n v="87"/>
    <x v="0"/>
    <n v="52"/>
  </r>
  <r>
    <n v="614"/>
    <x v="0"/>
    <x v="0"/>
    <s v="Beans"/>
    <x v="0"/>
    <s v="Ohio"/>
    <x v="0"/>
    <s v="Decaf"/>
    <n v="20"/>
    <n v="150"/>
    <n v="57"/>
    <n v="0"/>
    <x v="1"/>
    <n v="87"/>
  </r>
  <r>
    <n v="754"/>
    <x v="0"/>
    <x v="0"/>
    <s v="Beans"/>
    <x v="0"/>
    <s v="Florida"/>
    <x v="1"/>
    <s v="Decaf"/>
    <n v="70"/>
    <n v="190"/>
    <n v="26"/>
    <n v="67"/>
    <x v="2"/>
    <n v="49"/>
  </r>
  <r>
    <n v="325"/>
    <x v="0"/>
    <x v="0"/>
    <s v="Beans"/>
    <x v="0"/>
    <s v="Texas"/>
    <x v="2"/>
    <s v="Decaf"/>
    <n v="100"/>
    <n v="230"/>
    <n v="27"/>
    <n v="68"/>
    <x v="3"/>
    <n v="39"/>
  </r>
  <r>
    <n v="650"/>
    <x v="0"/>
    <x v="0"/>
    <s v="Beans"/>
    <x v="0"/>
    <s v="California"/>
    <x v="3"/>
    <s v="Decaf"/>
    <n v="-120"/>
    <n v="140"/>
    <n v="47"/>
    <n v="-117"/>
    <x v="4"/>
    <n v="91"/>
  </r>
  <r>
    <n v="720"/>
    <x v="0"/>
    <x v="1"/>
    <s v="Beans"/>
    <x v="1"/>
    <s v="Colorado"/>
    <x v="0"/>
    <s v="Decaf"/>
    <n v="80"/>
    <n v="210"/>
    <n v="23"/>
    <n v="53"/>
    <x v="5"/>
    <n v="55"/>
  </r>
  <r>
    <n v="630"/>
    <x v="0"/>
    <x v="1"/>
    <s v="Beans"/>
    <x v="1"/>
    <s v="Illinois"/>
    <x v="0"/>
    <s v="Decaf"/>
    <n v="180"/>
    <n v="530"/>
    <n v="63"/>
    <n v="140"/>
    <x v="6"/>
    <n v="88"/>
  </r>
  <r>
    <n v="614"/>
    <x v="0"/>
    <x v="1"/>
    <s v="Beans"/>
    <x v="1"/>
    <s v="Ohio"/>
    <x v="0"/>
    <s v="Decaf"/>
    <n v="40"/>
    <n v="150"/>
    <n v="22"/>
    <n v="16"/>
    <x v="7"/>
    <n v="56"/>
  </r>
  <r>
    <n v="754"/>
    <x v="0"/>
    <x v="1"/>
    <s v="Beans"/>
    <x v="1"/>
    <s v="Florida"/>
    <x v="1"/>
    <s v="Decaf"/>
    <n v="60"/>
    <n v="170"/>
    <n v="25"/>
    <n v="50"/>
    <x v="5"/>
    <n v="53"/>
  </r>
  <r>
    <n v="956"/>
    <x v="0"/>
    <x v="1"/>
    <s v="Beans"/>
    <x v="1"/>
    <s v="Texas"/>
    <x v="2"/>
    <s v="Decaf"/>
    <n v="60"/>
    <n v="110"/>
    <n v="15"/>
    <n v="54"/>
    <x v="8"/>
    <n v="26"/>
  </r>
  <r>
    <n v="213"/>
    <x v="0"/>
    <x v="1"/>
    <s v="Beans"/>
    <x v="1"/>
    <s v="California"/>
    <x v="3"/>
    <s v="Decaf"/>
    <n v="200"/>
    <n v="520"/>
    <n v="77"/>
    <n v="203"/>
    <x v="9"/>
    <n v="109"/>
  </r>
  <r>
    <n v="719"/>
    <x v="0"/>
    <x v="2"/>
    <s v="Beans"/>
    <x v="0"/>
    <s v="Colorado"/>
    <x v="0"/>
    <s v="Regular"/>
    <n v="100"/>
    <n v="220"/>
    <n v="24"/>
    <n v="94"/>
    <x v="10"/>
    <n v="36"/>
  </r>
  <r>
    <n v="740"/>
    <x v="0"/>
    <x v="2"/>
    <s v="Beans"/>
    <x v="0"/>
    <s v="Ohio"/>
    <x v="0"/>
    <s v="Regular"/>
    <n v="50"/>
    <n v="140"/>
    <n v="19"/>
    <n v="34"/>
    <x v="11"/>
    <n v="46"/>
  </r>
  <r>
    <n v="970"/>
    <x v="0"/>
    <x v="3"/>
    <s v="Beans"/>
    <x v="0"/>
    <s v="Colorado"/>
    <x v="0"/>
    <s v="Regular"/>
    <n v="80"/>
    <n v="190"/>
    <n v="27"/>
    <n v="68"/>
    <x v="3"/>
    <n v="39"/>
  </r>
  <r>
    <n v="217"/>
    <x v="0"/>
    <x v="3"/>
    <s v="Beans"/>
    <x v="0"/>
    <s v="Illinois"/>
    <x v="0"/>
    <s v="Regular"/>
    <n v="130"/>
    <n v="360"/>
    <n v="47"/>
    <n v="111"/>
    <x v="12"/>
    <n v="90"/>
  </r>
  <r>
    <n v="614"/>
    <x v="0"/>
    <x v="3"/>
    <s v="Beans"/>
    <x v="0"/>
    <s v="Ohio"/>
    <x v="0"/>
    <s v="Regular"/>
    <n v="50"/>
    <n v="140"/>
    <n v="18"/>
    <n v="42"/>
    <x v="11"/>
    <n v="41"/>
  </r>
  <r>
    <n v="954"/>
    <x v="0"/>
    <x v="3"/>
    <s v="Beans"/>
    <x v="0"/>
    <s v="Florida"/>
    <x v="1"/>
    <s v="Regular"/>
    <n v="70"/>
    <n v="190"/>
    <n v="27"/>
    <n v="68"/>
    <x v="13"/>
    <n v="58"/>
  </r>
  <r>
    <n v="413"/>
    <x v="0"/>
    <x v="3"/>
    <s v="Beans"/>
    <x v="0"/>
    <s v="Massachusetts"/>
    <x v="1"/>
    <s v="Regular"/>
    <n v="360"/>
    <n v="460"/>
    <n v="23"/>
    <n v="367"/>
    <x v="14"/>
    <n v="55"/>
  </r>
  <r>
    <n v="716"/>
    <x v="0"/>
    <x v="3"/>
    <s v="Beans"/>
    <x v="0"/>
    <s v="New York"/>
    <x v="1"/>
    <s v="Regular"/>
    <n v="260"/>
    <n v="640"/>
    <n v="94"/>
    <n v="262"/>
    <x v="15"/>
    <n v="145"/>
  </r>
  <r>
    <n v="409"/>
    <x v="0"/>
    <x v="3"/>
    <s v="Beans"/>
    <x v="0"/>
    <s v="Texas"/>
    <x v="2"/>
    <s v="Regular"/>
    <n v="220"/>
    <n v="560"/>
    <n v="64"/>
    <n v="159"/>
    <x v="16"/>
    <n v="86"/>
  </r>
  <r>
    <n v="916"/>
    <x v="0"/>
    <x v="2"/>
    <s v="Beans"/>
    <x v="0"/>
    <s v="California"/>
    <x v="3"/>
    <s v="Regular"/>
    <n v="30"/>
    <n v="180"/>
    <n v="30"/>
    <n v="-2"/>
    <x v="17"/>
    <n v="52"/>
  </r>
  <r>
    <n v="559"/>
    <x v="0"/>
    <x v="3"/>
    <s v="Beans"/>
    <x v="0"/>
    <s v="California"/>
    <x v="3"/>
    <s v="Regular"/>
    <n v="370"/>
    <n v="840"/>
    <n v="94"/>
    <n v="262"/>
    <x v="15"/>
    <n v="145"/>
  </r>
  <r>
    <n v="303"/>
    <x v="0"/>
    <x v="4"/>
    <s v="Beans"/>
    <x v="1"/>
    <s v="Colorado"/>
    <x v="0"/>
    <s v="Regular"/>
    <n v="70"/>
    <n v="150"/>
    <n v="15"/>
    <n v="54"/>
    <x v="8"/>
    <n v="26"/>
  </r>
  <r>
    <n v="309"/>
    <x v="0"/>
    <x v="4"/>
    <s v="Beans"/>
    <x v="1"/>
    <s v="Illinois"/>
    <x v="0"/>
    <s v="Regular"/>
    <n v="260"/>
    <n v="640"/>
    <n v="77"/>
    <n v="203"/>
    <x v="9"/>
    <n v="109"/>
  </r>
  <r>
    <n v="614"/>
    <x v="0"/>
    <x v="4"/>
    <s v="Beans"/>
    <x v="1"/>
    <s v="Ohio"/>
    <x v="0"/>
    <s v="Regular"/>
    <n v="140"/>
    <n v="400"/>
    <n v="47"/>
    <n v="99"/>
    <x v="18"/>
    <n v="72"/>
  </r>
  <r>
    <n v="239"/>
    <x v="0"/>
    <x v="4"/>
    <s v="Beans"/>
    <x v="1"/>
    <s v="Florida"/>
    <x v="1"/>
    <s v="Regular"/>
    <n v="30"/>
    <n v="180"/>
    <n v="72"/>
    <n v="9"/>
    <x v="3"/>
    <n v="102"/>
  </r>
  <r>
    <n v="781"/>
    <x v="0"/>
    <x v="4"/>
    <s v="Beans"/>
    <x v="1"/>
    <s v="Massachusetts"/>
    <x v="1"/>
    <s v="Regular"/>
    <n v="-10"/>
    <n v="120"/>
    <n v="57"/>
    <n v="-23"/>
    <x v="19"/>
    <n v="86"/>
  </r>
  <r>
    <n v="315"/>
    <x v="0"/>
    <x v="4"/>
    <s v="Beans"/>
    <x v="1"/>
    <s v="New York"/>
    <x v="1"/>
    <s v="Regular"/>
    <n v="-170"/>
    <n v="50"/>
    <n v="95"/>
    <n v="-172"/>
    <x v="20"/>
    <n v="128"/>
  </r>
  <r>
    <n v="978"/>
    <x v="0"/>
    <x v="5"/>
    <s v="Beans"/>
    <x v="1"/>
    <s v="Massachusetts"/>
    <x v="1"/>
    <s v="Regular"/>
    <n v="110"/>
    <n v="330"/>
    <n v="47"/>
    <n v="100"/>
    <x v="18"/>
    <n v="71"/>
  </r>
  <r>
    <n v="631"/>
    <x v="0"/>
    <x v="5"/>
    <s v="Beans"/>
    <x v="1"/>
    <s v="New York"/>
    <x v="1"/>
    <s v="Regular"/>
    <n v="200"/>
    <n v="480"/>
    <n v="63"/>
    <n v="175"/>
    <x v="21"/>
    <n v="87"/>
  </r>
  <r>
    <n v="830"/>
    <x v="0"/>
    <x v="6"/>
    <s v="Beans"/>
    <x v="1"/>
    <s v="Texas"/>
    <x v="2"/>
    <s v="Regular"/>
    <n v="50"/>
    <n v="150"/>
    <n v="23"/>
    <n v="53"/>
    <x v="5"/>
    <n v="55"/>
  </r>
  <r>
    <n v="325"/>
    <x v="0"/>
    <x v="4"/>
    <s v="Beans"/>
    <x v="1"/>
    <s v="Texas"/>
    <x v="2"/>
    <s v="Regular"/>
    <n v="90"/>
    <n v="180"/>
    <n v="24"/>
    <n v="95"/>
    <x v="10"/>
    <n v="35"/>
  </r>
  <r>
    <n v="661"/>
    <x v="0"/>
    <x v="6"/>
    <s v="Beans"/>
    <x v="1"/>
    <s v="California"/>
    <x v="3"/>
    <s v="Regular"/>
    <n v="150"/>
    <n v="430"/>
    <n v="63"/>
    <n v="140"/>
    <x v="6"/>
    <n v="88"/>
  </r>
  <r>
    <n v="818"/>
    <x v="0"/>
    <x v="4"/>
    <s v="Beans"/>
    <x v="1"/>
    <s v="California"/>
    <x v="3"/>
    <s v="Regular"/>
    <n v="20"/>
    <n v="240"/>
    <n v="95"/>
    <n v="17"/>
    <x v="22"/>
    <n v="128"/>
  </r>
  <r>
    <n v="712"/>
    <x v="0"/>
    <x v="0"/>
    <s v="Beans"/>
    <x v="0"/>
    <s v="Iowa"/>
    <x v="0"/>
    <s v="Decaf"/>
    <n v="20"/>
    <n v="50"/>
    <n v="7"/>
    <n v="12"/>
    <x v="23"/>
    <n v="19"/>
  </r>
  <r>
    <n v="573"/>
    <x v="0"/>
    <x v="0"/>
    <s v="Beans"/>
    <x v="0"/>
    <s v="Missouri"/>
    <x v="0"/>
    <s v="Decaf"/>
    <n v="50"/>
    <n v="170"/>
    <n v="24"/>
    <n v="47"/>
    <x v="24"/>
    <n v="45"/>
  </r>
  <r>
    <n v="414"/>
    <x v="0"/>
    <x v="0"/>
    <s v="Beans"/>
    <x v="0"/>
    <s v="Wisconsin"/>
    <x v="0"/>
    <s v="Decaf"/>
    <n v="60"/>
    <n v="180"/>
    <n v="25"/>
    <n v="51"/>
    <x v="5"/>
    <n v="52"/>
  </r>
  <r>
    <n v="985"/>
    <x v="0"/>
    <x v="0"/>
    <s v="Beans"/>
    <x v="0"/>
    <s v="Louisiana"/>
    <x v="2"/>
    <s v="Decaf"/>
    <n v="50"/>
    <n v="100"/>
    <n v="9"/>
    <n v="28"/>
    <x v="25"/>
    <n v="20"/>
  </r>
  <r>
    <n v="505"/>
    <x v="0"/>
    <x v="0"/>
    <s v="Beans"/>
    <x v="0"/>
    <s v="New Mexico"/>
    <x v="2"/>
    <s v="Decaf"/>
    <n v="-30"/>
    <n v="120"/>
    <n v="27"/>
    <n v="-39"/>
    <x v="26"/>
    <n v="50"/>
  </r>
  <r>
    <n v="580"/>
    <x v="0"/>
    <x v="0"/>
    <s v="Beans"/>
    <x v="0"/>
    <s v="Oklahoma"/>
    <x v="2"/>
    <s v="Decaf"/>
    <n v="50"/>
    <n v="100"/>
    <n v="8"/>
    <n v="28"/>
    <x v="27"/>
    <n v="20"/>
  </r>
  <r>
    <n v="775"/>
    <x v="0"/>
    <x v="0"/>
    <s v="Beans"/>
    <x v="0"/>
    <s v="Nevada"/>
    <x v="3"/>
    <s v="Decaf"/>
    <n v="20"/>
    <n v="70"/>
    <n v="8"/>
    <n v="4"/>
    <x v="28"/>
    <n v="30"/>
  </r>
  <r>
    <n v="971"/>
    <x v="0"/>
    <x v="0"/>
    <s v="Beans"/>
    <x v="0"/>
    <s v="Oregon"/>
    <x v="3"/>
    <s v="Decaf"/>
    <n v="70"/>
    <n v="170"/>
    <n v="18"/>
    <n v="42"/>
    <x v="11"/>
    <n v="41"/>
  </r>
  <r>
    <n v="801"/>
    <x v="0"/>
    <x v="0"/>
    <s v="Beans"/>
    <x v="0"/>
    <s v="Utah"/>
    <x v="3"/>
    <s v="Decaf"/>
    <n v="70"/>
    <n v="230"/>
    <n v="32"/>
    <n v="39"/>
    <x v="3"/>
    <n v="66"/>
  </r>
  <r>
    <n v="509"/>
    <x v="0"/>
    <x v="0"/>
    <s v="Beans"/>
    <x v="0"/>
    <s v="Washington"/>
    <x v="3"/>
    <s v="Decaf"/>
    <n v="60"/>
    <n v="230"/>
    <n v="72"/>
    <n v="9"/>
    <x v="3"/>
    <n v="102"/>
  </r>
  <r>
    <n v="563"/>
    <x v="0"/>
    <x v="1"/>
    <s v="Beans"/>
    <x v="1"/>
    <s v="Iowa"/>
    <x v="0"/>
    <s v="Decaf"/>
    <n v="30"/>
    <n v="50"/>
    <n v="4"/>
    <n v="10"/>
    <x v="29"/>
    <n v="16"/>
  </r>
  <r>
    <n v="660"/>
    <x v="0"/>
    <x v="1"/>
    <s v="Beans"/>
    <x v="1"/>
    <s v="Missouri"/>
    <x v="0"/>
    <s v="Decaf"/>
    <n v="60"/>
    <n v="130"/>
    <n v="12"/>
    <n v="45"/>
    <x v="30"/>
    <n v="23"/>
  </r>
  <r>
    <n v="262"/>
    <x v="0"/>
    <x v="1"/>
    <s v="Beans"/>
    <x v="1"/>
    <s v="Wisconsin"/>
    <x v="0"/>
    <s v="Decaf"/>
    <n v="50"/>
    <n v="120"/>
    <n v="15"/>
    <n v="34"/>
    <x v="31"/>
    <n v="28"/>
  </r>
  <r>
    <n v="475"/>
    <x v="0"/>
    <x v="1"/>
    <s v="Beans"/>
    <x v="1"/>
    <s v="Connecticut"/>
    <x v="1"/>
    <s v="Decaf"/>
    <n v="40"/>
    <n v="120"/>
    <n v="18"/>
    <n v="30"/>
    <x v="7"/>
    <n v="45"/>
  </r>
  <r>
    <n v="337"/>
    <x v="0"/>
    <x v="1"/>
    <s v="Beans"/>
    <x v="1"/>
    <s v="Louisiana"/>
    <x v="2"/>
    <s v="Decaf"/>
    <n v="50"/>
    <n v="120"/>
    <n v="19"/>
    <n v="48"/>
    <x v="1"/>
    <n v="41"/>
  </r>
  <r>
    <n v="505"/>
    <x v="0"/>
    <x v="1"/>
    <s v="Beans"/>
    <x v="1"/>
    <s v="New Mexico"/>
    <x v="2"/>
    <s v="Decaf"/>
    <n v="10"/>
    <n v="70"/>
    <n v="11"/>
    <n v="9"/>
    <x v="32"/>
    <n v="38"/>
  </r>
  <r>
    <n v="405"/>
    <x v="0"/>
    <x v="1"/>
    <s v="Beans"/>
    <x v="1"/>
    <s v="Oklahoma"/>
    <x v="2"/>
    <s v="Decaf"/>
    <n v="70"/>
    <n v="180"/>
    <n v="27"/>
    <n v="67"/>
    <x v="13"/>
    <n v="59"/>
  </r>
  <r>
    <n v="775"/>
    <x v="0"/>
    <x v="1"/>
    <s v="Beans"/>
    <x v="1"/>
    <s v="Nevada"/>
    <x v="3"/>
    <s v="Decaf"/>
    <n v="20"/>
    <n v="40"/>
    <n v="4"/>
    <n v="11"/>
    <x v="29"/>
    <n v="15"/>
  </r>
  <r>
    <n v="971"/>
    <x v="0"/>
    <x v="1"/>
    <s v="Beans"/>
    <x v="1"/>
    <s v="Oregon"/>
    <x v="3"/>
    <s v="Decaf"/>
    <n v="100"/>
    <n v="320"/>
    <n v="47"/>
    <n v="99"/>
    <x v="18"/>
    <n v="72"/>
  </r>
  <r>
    <n v="435"/>
    <x v="0"/>
    <x v="1"/>
    <s v="Beans"/>
    <x v="1"/>
    <s v="Utah"/>
    <x v="3"/>
    <s v="Decaf"/>
    <n v="50"/>
    <n v="110"/>
    <n v="14"/>
    <n v="47"/>
    <x v="33"/>
    <n v="26"/>
  </r>
  <r>
    <n v="206"/>
    <x v="0"/>
    <x v="1"/>
    <s v="Beans"/>
    <x v="1"/>
    <s v="Washington"/>
    <x v="3"/>
    <s v="Decaf"/>
    <n v="60"/>
    <n v="140"/>
    <n v="21"/>
    <n v="39"/>
    <x v="1"/>
    <n v="42"/>
  </r>
  <r>
    <n v="319"/>
    <x v="0"/>
    <x v="2"/>
    <s v="Beans"/>
    <x v="0"/>
    <s v="Iowa"/>
    <x v="0"/>
    <s v="Regular"/>
    <n v="20"/>
    <n v="40"/>
    <n v="5"/>
    <n v="11"/>
    <x v="34"/>
    <n v="16"/>
  </r>
  <r>
    <n v="262"/>
    <x v="0"/>
    <x v="2"/>
    <s v="Beans"/>
    <x v="0"/>
    <s v="Wisconsin"/>
    <x v="0"/>
    <s v="Regular"/>
    <n v="30"/>
    <n v="120"/>
    <n v="20"/>
    <n v="13"/>
    <x v="35"/>
    <n v="53"/>
  </r>
  <r>
    <n v="641"/>
    <x v="0"/>
    <x v="3"/>
    <s v="Beans"/>
    <x v="0"/>
    <s v="Iowa"/>
    <x v="0"/>
    <s v="Regular"/>
    <n v="20"/>
    <n v="60"/>
    <n v="8"/>
    <n v="5"/>
    <x v="28"/>
    <n v="29"/>
  </r>
  <r>
    <n v="636"/>
    <x v="0"/>
    <x v="3"/>
    <s v="Beans"/>
    <x v="0"/>
    <s v="Missouri"/>
    <x v="0"/>
    <s v="Regular"/>
    <n v="40"/>
    <n v="190"/>
    <n v="32"/>
    <n v="39"/>
    <x v="3"/>
    <n v="66"/>
  </r>
  <r>
    <n v="262"/>
    <x v="0"/>
    <x v="3"/>
    <s v="Beans"/>
    <x v="0"/>
    <s v="Wisconsin"/>
    <x v="0"/>
    <s v="Regular"/>
    <n v="20"/>
    <n v="190"/>
    <n v="72"/>
    <n v="9"/>
    <x v="3"/>
    <n v="102"/>
  </r>
  <r>
    <n v="603"/>
    <x v="0"/>
    <x v="2"/>
    <s v="Beans"/>
    <x v="0"/>
    <s v="New Hampshire"/>
    <x v="1"/>
    <s v="Regular"/>
    <n v="30"/>
    <n v="80"/>
    <n v="12"/>
    <n v="20"/>
    <x v="36"/>
    <n v="35"/>
  </r>
  <r>
    <n v="475"/>
    <x v="0"/>
    <x v="3"/>
    <s v="Beans"/>
    <x v="0"/>
    <s v="Connecticut"/>
    <x v="1"/>
    <s v="Regular"/>
    <n v="130"/>
    <n v="290"/>
    <n v="40"/>
    <n v="115"/>
    <x v="37"/>
    <n v="71"/>
  </r>
  <r>
    <n v="603"/>
    <x v="0"/>
    <x v="3"/>
    <s v="Beans"/>
    <x v="0"/>
    <s v="New Hampshire"/>
    <x v="1"/>
    <s v="Regular"/>
    <n v="40"/>
    <n v="110"/>
    <n v="15"/>
    <n v="25"/>
    <x v="35"/>
    <n v="47"/>
  </r>
  <r>
    <n v="225"/>
    <x v="0"/>
    <x v="3"/>
    <s v="Beans"/>
    <x v="0"/>
    <s v="Louisiana"/>
    <x v="2"/>
    <s v="Regular"/>
    <n v="50"/>
    <n v="100"/>
    <n v="9"/>
    <n v="30"/>
    <x v="38"/>
    <n v="21"/>
  </r>
  <r>
    <n v="505"/>
    <x v="0"/>
    <x v="3"/>
    <s v="Beans"/>
    <x v="0"/>
    <s v="New Mexico"/>
    <x v="2"/>
    <s v="Regular"/>
    <n v="50"/>
    <n v="150"/>
    <n v="15"/>
    <n v="26"/>
    <x v="35"/>
    <n v="46"/>
  </r>
  <r>
    <n v="580"/>
    <x v="0"/>
    <x v="3"/>
    <s v="Beans"/>
    <x v="0"/>
    <s v="Oklahoma"/>
    <x v="2"/>
    <s v="Regular"/>
    <n v="50"/>
    <n v="120"/>
    <n v="14"/>
    <n v="29"/>
    <x v="39"/>
    <n v="27"/>
  </r>
  <r>
    <n v="541"/>
    <x v="0"/>
    <x v="2"/>
    <s v="Beans"/>
    <x v="0"/>
    <s v="Oregon"/>
    <x v="3"/>
    <s v="Regular"/>
    <n v="40"/>
    <n v="180"/>
    <n v="57"/>
    <n v="1"/>
    <x v="1"/>
    <n v="86"/>
  </r>
  <r>
    <n v="801"/>
    <x v="0"/>
    <x v="2"/>
    <s v="Beans"/>
    <x v="0"/>
    <s v="Utah"/>
    <x v="3"/>
    <s v="Regular"/>
    <n v="80"/>
    <n v="210"/>
    <n v="24"/>
    <n v="47"/>
    <x v="24"/>
    <n v="45"/>
  </r>
  <r>
    <n v="702"/>
    <x v="0"/>
    <x v="3"/>
    <s v="Beans"/>
    <x v="0"/>
    <s v="Nevada"/>
    <x v="3"/>
    <s v="Regular"/>
    <n v="10"/>
    <n v="90"/>
    <n v="12"/>
    <n v="-3"/>
    <x v="40"/>
    <n v="45"/>
  </r>
  <r>
    <n v="503"/>
    <x v="0"/>
    <x v="3"/>
    <s v="Beans"/>
    <x v="0"/>
    <s v="Oregon"/>
    <x v="3"/>
    <s v="Regular"/>
    <n v="60"/>
    <n v="200"/>
    <n v="22"/>
    <n v="28"/>
    <x v="41"/>
    <n v="65"/>
  </r>
  <r>
    <n v="435"/>
    <x v="0"/>
    <x v="3"/>
    <s v="Beans"/>
    <x v="0"/>
    <s v="Utah"/>
    <x v="3"/>
    <s v="Regular"/>
    <n v="70"/>
    <n v="160"/>
    <n v="18"/>
    <n v="30"/>
    <x v="7"/>
    <n v="45"/>
  </r>
  <r>
    <n v="206"/>
    <x v="0"/>
    <x v="3"/>
    <s v="Beans"/>
    <x v="0"/>
    <s v="Washington"/>
    <x v="3"/>
    <s v="Regular"/>
    <n v="70"/>
    <n v="160"/>
    <n v="16"/>
    <n v="38"/>
    <x v="7"/>
    <n v="39"/>
  </r>
  <r>
    <n v="563"/>
    <x v="0"/>
    <x v="4"/>
    <s v="Beans"/>
    <x v="1"/>
    <s v="Iowa"/>
    <x v="0"/>
    <s v="Regular"/>
    <n v="30"/>
    <n v="50"/>
    <n v="4"/>
    <n v="11"/>
    <x v="29"/>
    <n v="15"/>
  </r>
  <r>
    <n v="573"/>
    <x v="0"/>
    <x v="4"/>
    <s v="Beans"/>
    <x v="1"/>
    <s v="Missouri"/>
    <x v="0"/>
    <s v="Regular"/>
    <n v="70"/>
    <n v="140"/>
    <n v="14"/>
    <n v="48"/>
    <x v="33"/>
    <n v="25"/>
  </r>
  <r>
    <n v="414"/>
    <x v="0"/>
    <x v="4"/>
    <s v="Beans"/>
    <x v="1"/>
    <s v="Wisconsin"/>
    <x v="0"/>
    <s v="Regular"/>
    <n v="50"/>
    <n v="170"/>
    <n v="21"/>
    <n v="38"/>
    <x v="1"/>
    <n v="43"/>
  </r>
  <r>
    <n v="860"/>
    <x v="0"/>
    <x v="4"/>
    <s v="Beans"/>
    <x v="1"/>
    <s v="Connecticut"/>
    <x v="1"/>
    <s v="Regular"/>
    <n v="20"/>
    <n v="170"/>
    <n v="68"/>
    <n v="7"/>
    <x v="5"/>
    <n v="98"/>
  </r>
  <r>
    <n v="603"/>
    <x v="0"/>
    <x v="4"/>
    <s v="Beans"/>
    <x v="1"/>
    <s v="New Hampshire"/>
    <x v="1"/>
    <s v="Regular"/>
    <n v="0"/>
    <n v="80"/>
    <n v="34"/>
    <n v="-10"/>
    <x v="42"/>
    <n v="63"/>
  </r>
  <r>
    <n v="603"/>
    <x v="0"/>
    <x v="5"/>
    <s v="Beans"/>
    <x v="1"/>
    <s v="New Hampshire"/>
    <x v="1"/>
    <s v="Regular"/>
    <n v="0"/>
    <n v="60"/>
    <n v="11"/>
    <n v="-8"/>
    <x v="43"/>
    <n v="44"/>
  </r>
  <r>
    <n v="504"/>
    <x v="0"/>
    <x v="6"/>
    <s v="Beans"/>
    <x v="1"/>
    <s v="Louisiana"/>
    <x v="2"/>
    <s v="Regular"/>
    <n v="10"/>
    <n v="150"/>
    <n v="68"/>
    <n v="8"/>
    <x v="5"/>
    <n v="97"/>
  </r>
  <r>
    <n v="505"/>
    <x v="0"/>
    <x v="6"/>
    <s v="Beans"/>
    <x v="1"/>
    <s v="New Mexico"/>
    <x v="2"/>
    <s v="Regular"/>
    <n v="0"/>
    <n v="50"/>
    <n v="11"/>
    <n v="-8"/>
    <x v="43"/>
    <n v="44"/>
  </r>
  <r>
    <n v="405"/>
    <x v="0"/>
    <x v="6"/>
    <s v="Beans"/>
    <x v="1"/>
    <s v="Oklahoma"/>
    <x v="2"/>
    <s v="Regular"/>
    <n v="70"/>
    <n v="170"/>
    <n v="26"/>
    <n v="66"/>
    <x v="2"/>
    <n v="50"/>
  </r>
  <r>
    <n v="337"/>
    <x v="0"/>
    <x v="4"/>
    <s v="Beans"/>
    <x v="1"/>
    <s v="Louisiana"/>
    <x v="2"/>
    <s v="Regular"/>
    <n v="80"/>
    <n v="150"/>
    <n v="20"/>
    <n v="70"/>
    <x v="5"/>
    <n v="43"/>
  </r>
  <r>
    <n v="505"/>
    <x v="0"/>
    <x v="4"/>
    <s v="Beans"/>
    <x v="1"/>
    <s v="New Mexico"/>
    <x v="2"/>
    <s v="Regular"/>
    <n v="-10"/>
    <n v="70"/>
    <n v="34"/>
    <n v="-10"/>
    <x v="42"/>
    <n v="63"/>
  </r>
  <r>
    <n v="405"/>
    <x v="0"/>
    <x v="4"/>
    <s v="Beans"/>
    <x v="1"/>
    <s v="Oklahoma"/>
    <x v="2"/>
    <s v="Regular"/>
    <n v="40"/>
    <n v="60"/>
    <n v="8"/>
    <n v="28"/>
    <x v="27"/>
    <n v="20"/>
  </r>
  <r>
    <n v="775"/>
    <x v="0"/>
    <x v="6"/>
    <s v="Beans"/>
    <x v="1"/>
    <s v="Nevada"/>
    <x v="3"/>
    <s v="Regular"/>
    <n v="20"/>
    <n v="40"/>
    <n v="4"/>
    <n v="11"/>
    <x v="29"/>
    <n v="15"/>
  </r>
  <r>
    <n v="503"/>
    <x v="0"/>
    <x v="6"/>
    <s v="Beans"/>
    <x v="1"/>
    <s v="Oregon"/>
    <x v="3"/>
    <s v="Regular"/>
    <n v="20"/>
    <n v="120"/>
    <n v="22"/>
    <n v="16"/>
    <x v="7"/>
    <n v="56"/>
  </r>
  <r>
    <n v="435"/>
    <x v="0"/>
    <x v="6"/>
    <s v="Beans"/>
    <x v="1"/>
    <s v="Utah"/>
    <x v="3"/>
    <s v="Regular"/>
    <n v="40"/>
    <n v="100"/>
    <n v="12"/>
    <n v="44"/>
    <x v="30"/>
    <n v="24"/>
  </r>
  <r>
    <n v="425"/>
    <x v="0"/>
    <x v="6"/>
    <s v="Beans"/>
    <x v="1"/>
    <s v="Washington"/>
    <x v="3"/>
    <s v="Regular"/>
    <n v="40"/>
    <n v="100"/>
    <n v="15"/>
    <n v="35"/>
    <x v="31"/>
    <n v="27"/>
  </r>
  <r>
    <n v="702"/>
    <x v="0"/>
    <x v="4"/>
    <s v="Beans"/>
    <x v="1"/>
    <s v="Nevada"/>
    <x v="3"/>
    <s v="Regular"/>
    <n v="20"/>
    <n v="40"/>
    <n v="5"/>
    <n v="10"/>
    <x v="34"/>
    <n v="17"/>
  </r>
  <r>
    <n v="503"/>
    <x v="0"/>
    <x v="4"/>
    <s v="Beans"/>
    <x v="1"/>
    <s v="Oregon"/>
    <x v="3"/>
    <s v="Regular"/>
    <n v="50"/>
    <n v="130"/>
    <n v="19"/>
    <n v="33"/>
    <x v="11"/>
    <n v="47"/>
  </r>
  <r>
    <n v="435"/>
    <x v="0"/>
    <x v="4"/>
    <s v="Beans"/>
    <x v="1"/>
    <s v="Utah"/>
    <x v="3"/>
    <s v="Regular"/>
    <n v="40"/>
    <n v="100"/>
    <n v="16"/>
    <n v="34"/>
    <x v="44"/>
    <n v="29"/>
  </r>
  <r>
    <n v="253"/>
    <x v="0"/>
    <x v="4"/>
    <s v="Beans"/>
    <x v="1"/>
    <s v="Washington"/>
    <x v="3"/>
    <s v="Regular"/>
    <n v="20"/>
    <n v="110"/>
    <n v="20"/>
    <n v="13"/>
    <x v="35"/>
    <n v="53"/>
  </r>
  <r>
    <n v="970"/>
    <x v="0"/>
    <x v="7"/>
    <s v="Leaves"/>
    <x v="2"/>
    <s v="Colorado"/>
    <x v="0"/>
    <s v="Decaf"/>
    <n v="110"/>
    <n v="300"/>
    <n v="47"/>
    <n v="99"/>
    <x v="18"/>
    <n v="72"/>
  </r>
  <r>
    <n v="312"/>
    <x v="0"/>
    <x v="7"/>
    <s v="Leaves"/>
    <x v="2"/>
    <s v="Illinois"/>
    <x v="0"/>
    <s v="Decaf"/>
    <n v="100"/>
    <n v="190"/>
    <n v="24"/>
    <n v="95"/>
    <x v="10"/>
    <n v="35"/>
  </r>
  <r>
    <n v="937"/>
    <x v="0"/>
    <x v="7"/>
    <s v="Leaves"/>
    <x v="2"/>
    <s v="Ohio"/>
    <x v="0"/>
    <s v="Decaf"/>
    <n v="50"/>
    <n v="70"/>
    <n v="8"/>
    <n v="29"/>
    <x v="27"/>
    <n v="19"/>
  </r>
  <r>
    <n v="719"/>
    <x v="0"/>
    <x v="8"/>
    <s v="Leaves"/>
    <x v="2"/>
    <s v="Colorado"/>
    <x v="0"/>
    <s v="Decaf"/>
    <n v="20"/>
    <n v="130"/>
    <n v="57"/>
    <n v="0"/>
    <x v="1"/>
    <n v="87"/>
  </r>
  <r>
    <n v="630"/>
    <x v="0"/>
    <x v="8"/>
    <s v="Leaves"/>
    <x v="2"/>
    <s v="Illinois"/>
    <x v="0"/>
    <s v="Decaf"/>
    <n v="60"/>
    <n v="160"/>
    <n v="27"/>
    <n v="68"/>
    <x v="3"/>
    <n v="39"/>
  </r>
  <r>
    <n v="740"/>
    <x v="0"/>
    <x v="8"/>
    <s v="Leaves"/>
    <x v="2"/>
    <s v="Ohio"/>
    <x v="0"/>
    <s v="Decaf"/>
    <n v="50"/>
    <n v="70"/>
    <n v="8"/>
    <n v="29"/>
    <x v="27"/>
    <n v="19"/>
  </r>
  <r>
    <n v="970"/>
    <x v="0"/>
    <x v="9"/>
    <s v="Leaves"/>
    <x v="2"/>
    <s v="Colorado"/>
    <x v="0"/>
    <s v="Decaf"/>
    <n v="40"/>
    <n v="120"/>
    <n v="19"/>
    <n v="33"/>
    <x v="11"/>
    <n v="47"/>
  </r>
  <r>
    <n v="773"/>
    <x v="0"/>
    <x v="9"/>
    <s v="Leaves"/>
    <x v="2"/>
    <s v="Illinois"/>
    <x v="0"/>
    <s v="Decaf"/>
    <n v="100"/>
    <n v="200"/>
    <n v="26"/>
    <n v="101"/>
    <x v="0"/>
    <n v="38"/>
  </r>
  <r>
    <n v="863"/>
    <x v="0"/>
    <x v="7"/>
    <s v="Leaves"/>
    <x v="2"/>
    <s v="Florida"/>
    <x v="1"/>
    <s v="Decaf"/>
    <n v="30"/>
    <n v="80"/>
    <n v="15"/>
    <n v="34"/>
    <x v="31"/>
    <n v="28"/>
  </r>
  <r>
    <n v="239"/>
    <x v="0"/>
    <x v="8"/>
    <s v="Leaves"/>
    <x v="2"/>
    <s v="Florida"/>
    <x v="1"/>
    <s v="Decaf"/>
    <n v="20"/>
    <n v="90"/>
    <n v="20"/>
    <n v="13"/>
    <x v="35"/>
    <n v="53"/>
  </r>
  <r>
    <n v="339"/>
    <x v="0"/>
    <x v="8"/>
    <s v="Leaves"/>
    <x v="2"/>
    <s v="Massachusetts"/>
    <x v="1"/>
    <s v="Decaf"/>
    <n v="30"/>
    <n v="100"/>
    <n v="22"/>
    <n v="17"/>
    <x v="7"/>
    <n v="55"/>
  </r>
  <r>
    <n v="607"/>
    <x v="0"/>
    <x v="8"/>
    <s v="Leaves"/>
    <x v="2"/>
    <s v="New York"/>
    <x v="1"/>
    <s v="Decaf"/>
    <n v="100"/>
    <n v="370"/>
    <n v="93"/>
    <n v="111"/>
    <x v="45"/>
    <n v="127"/>
  </r>
  <r>
    <n v="772"/>
    <x v="0"/>
    <x v="9"/>
    <s v="Leaves"/>
    <x v="2"/>
    <s v="Florida"/>
    <x v="1"/>
    <s v="Decaf"/>
    <n v="40"/>
    <n v="110"/>
    <n v="21"/>
    <n v="39"/>
    <x v="1"/>
    <n v="42"/>
  </r>
  <r>
    <n v="845"/>
    <x v="0"/>
    <x v="9"/>
    <s v="Leaves"/>
    <x v="2"/>
    <s v="New York"/>
    <x v="1"/>
    <s v="Decaf"/>
    <n v="-70"/>
    <n v="140"/>
    <n v="64"/>
    <n v="-113"/>
    <x v="5"/>
    <n v="86"/>
  </r>
  <r>
    <n v="281"/>
    <x v="0"/>
    <x v="7"/>
    <s v="Leaves"/>
    <x v="2"/>
    <s v="Texas"/>
    <x v="2"/>
    <s v="Decaf"/>
    <n v="50"/>
    <n v="130"/>
    <n v="19"/>
    <n v="33"/>
    <x v="11"/>
    <n v="47"/>
  </r>
  <r>
    <n v="254"/>
    <x v="0"/>
    <x v="8"/>
    <s v="Leaves"/>
    <x v="2"/>
    <s v="Texas"/>
    <x v="2"/>
    <s v="Decaf"/>
    <n v="50"/>
    <n v="130"/>
    <n v="18"/>
    <n v="42"/>
    <x v="11"/>
    <n v="41"/>
  </r>
  <r>
    <n v="510"/>
    <x v="0"/>
    <x v="7"/>
    <s v="Leaves"/>
    <x v="2"/>
    <s v="California"/>
    <x v="3"/>
    <s v="Decaf"/>
    <n v="100"/>
    <n v="200"/>
    <n v="26"/>
    <n v="102"/>
    <x v="0"/>
    <n v="37"/>
  </r>
  <r>
    <n v="310"/>
    <x v="0"/>
    <x v="8"/>
    <s v="Leaves"/>
    <x v="2"/>
    <s v="California"/>
    <x v="3"/>
    <s v="Decaf"/>
    <n v="160"/>
    <n v="390"/>
    <n v="64"/>
    <n v="160"/>
    <x v="16"/>
    <n v="85"/>
  </r>
  <r>
    <n v="707"/>
    <x v="0"/>
    <x v="9"/>
    <s v="Leaves"/>
    <x v="2"/>
    <s v="California"/>
    <x v="3"/>
    <s v="Decaf"/>
    <n v="60"/>
    <n v="160"/>
    <n v="27"/>
    <n v="67"/>
    <x v="3"/>
    <n v="40"/>
  </r>
  <r>
    <n v="719"/>
    <x v="0"/>
    <x v="10"/>
    <s v="Leaves"/>
    <x v="3"/>
    <s v="Colorado"/>
    <x v="0"/>
    <s v="Regular"/>
    <n v="20"/>
    <n v="110"/>
    <n v="22"/>
    <n v="17"/>
    <x v="7"/>
    <n v="55"/>
  </r>
  <r>
    <n v="217"/>
    <x v="0"/>
    <x v="10"/>
    <s v="Leaves"/>
    <x v="3"/>
    <s v="Illinois"/>
    <x v="0"/>
    <s v="Regular"/>
    <n v="50"/>
    <n v="110"/>
    <n v="15"/>
    <n v="53"/>
    <x v="8"/>
    <n v="27"/>
  </r>
  <r>
    <n v="567"/>
    <x v="0"/>
    <x v="10"/>
    <s v="Leaves"/>
    <x v="3"/>
    <s v="Ohio"/>
    <x v="0"/>
    <s v="Regular"/>
    <n v="60"/>
    <n v="180"/>
    <n v="27"/>
    <n v="68"/>
    <x v="13"/>
    <n v="58"/>
  </r>
  <r>
    <n v="303"/>
    <x v="0"/>
    <x v="11"/>
    <s v="Leaves"/>
    <x v="3"/>
    <s v="Colorado"/>
    <x v="0"/>
    <s v="Regular"/>
    <n v="40"/>
    <n v="120"/>
    <n v="19"/>
    <n v="36"/>
    <x v="11"/>
    <n v="40"/>
  </r>
  <r>
    <n v="708"/>
    <x v="0"/>
    <x v="11"/>
    <s v="Leaves"/>
    <x v="3"/>
    <s v="Illinois"/>
    <x v="0"/>
    <s v="Regular"/>
    <n v="40"/>
    <n v="150"/>
    <n v="23"/>
    <n v="54"/>
    <x v="5"/>
    <n v="54"/>
  </r>
  <r>
    <n v="216"/>
    <x v="0"/>
    <x v="11"/>
    <s v="Leaves"/>
    <x v="3"/>
    <s v="Ohio"/>
    <x v="0"/>
    <s v="Regular"/>
    <n v="60"/>
    <n v="170"/>
    <n v="26"/>
    <n v="67"/>
    <x v="2"/>
    <n v="49"/>
  </r>
  <r>
    <n v="303"/>
    <x v="0"/>
    <x v="12"/>
    <s v="Leaves"/>
    <x v="3"/>
    <s v="Colorado"/>
    <x v="0"/>
    <s v="Regular"/>
    <n v="30"/>
    <n v="80"/>
    <n v="14"/>
    <n v="30"/>
    <x v="39"/>
    <n v="26"/>
  </r>
  <r>
    <n v="954"/>
    <x v="0"/>
    <x v="10"/>
    <s v="Leaves"/>
    <x v="3"/>
    <s v="Florida"/>
    <x v="1"/>
    <s v="Regular"/>
    <n v="40"/>
    <n v="80"/>
    <n v="8"/>
    <n v="28"/>
    <x v="27"/>
    <n v="20"/>
  </r>
  <r>
    <n v="508"/>
    <x v="0"/>
    <x v="10"/>
    <s v="Leaves"/>
    <x v="3"/>
    <s v="Massachusetts"/>
    <x v="1"/>
    <s v="Regular"/>
    <n v="40"/>
    <n v="80"/>
    <n v="8"/>
    <n v="29"/>
    <x v="27"/>
    <n v="19"/>
  </r>
  <r>
    <n v="347"/>
    <x v="0"/>
    <x v="10"/>
    <s v="Leaves"/>
    <x v="3"/>
    <s v="New York"/>
    <x v="1"/>
    <s v="Regular"/>
    <n v="120"/>
    <n v="250"/>
    <n v="26"/>
    <n v="101"/>
    <x v="0"/>
    <n v="38"/>
  </r>
  <r>
    <n v="646"/>
    <x v="0"/>
    <x v="11"/>
    <s v="Leaves"/>
    <x v="3"/>
    <s v="New York"/>
    <x v="1"/>
    <s v="Regular"/>
    <n v="110"/>
    <n v="230"/>
    <n v="24"/>
    <n v="94"/>
    <x v="10"/>
    <n v="36"/>
  </r>
  <r>
    <n v="754"/>
    <x v="0"/>
    <x v="12"/>
    <s v="Leaves"/>
    <x v="3"/>
    <s v="Florida"/>
    <x v="1"/>
    <s v="Regular"/>
    <n v="40"/>
    <n v="80"/>
    <n v="9"/>
    <n v="28"/>
    <x v="25"/>
    <n v="20"/>
  </r>
  <r>
    <n v="781"/>
    <x v="0"/>
    <x v="12"/>
    <s v="Leaves"/>
    <x v="3"/>
    <s v="Massachusetts"/>
    <x v="1"/>
    <s v="Regular"/>
    <n v="40"/>
    <n v="80"/>
    <n v="8"/>
    <n v="29"/>
    <x v="27"/>
    <n v="19"/>
  </r>
  <r>
    <n v="347"/>
    <x v="0"/>
    <x v="12"/>
    <s v="Leaves"/>
    <x v="3"/>
    <s v="New York"/>
    <x v="1"/>
    <s v="Regular"/>
    <n v="70"/>
    <n v="140"/>
    <n v="15"/>
    <n v="54"/>
    <x v="8"/>
    <n v="26"/>
  </r>
  <r>
    <n v="619"/>
    <x v="0"/>
    <x v="10"/>
    <s v="Leaves"/>
    <x v="3"/>
    <s v="California"/>
    <x v="3"/>
    <s v="Regular"/>
    <n v="80"/>
    <n v="140"/>
    <n v="24"/>
    <n v="94"/>
    <x v="10"/>
    <n v="36"/>
  </r>
  <r>
    <n v="650"/>
    <x v="0"/>
    <x v="11"/>
    <s v="Leaves"/>
    <x v="3"/>
    <s v="California"/>
    <x v="3"/>
    <s v="Regular"/>
    <n v="60"/>
    <n v="90"/>
    <n v="15"/>
    <n v="54"/>
    <x v="8"/>
    <n v="26"/>
  </r>
  <r>
    <n v="760"/>
    <x v="0"/>
    <x v="12"/>
    <s v="Leaves"/>
    <x v="3"/>
    <s v="California"/>
    <x v="3"/>
    <s v="Regular"/>
    <n v="50"/>
    <n v="120"/>
    <n v="23"/>
    <n v="54"/>
    <x v="5"/>
    <n v="54"/>
  </r>
  <r>
    <n v="641"/>
    <x v="0"/>
    <x v="7"/>
    <s v="Leaves"/>
    <x v="2"/>
    <s v="Iowa"/>
    <x v="0"/>
    <s v="Decaf"/>
    <n v="200"/>
    <n v="480"/>
    <n v="77"/>
    <n v="202"/>
    <x v="9"/>
    <n v="110"/>
  </r>
  <r>
    <n v="573"/>
    <x v="0"/>
    <x v="7"/>
    <s v="Leaves"/>
    <x v="2"/>
    <s v="Missouri"/>
    <x v="0"/>
    <s v="Decaf"/>
    <n v="0"/>
    <n v="70"/>
    <n v="34"/>
    <n v="-11"/>
    <x v="42"/>
    <n v="64"/>
  </r>
  <r>
    <n v="715"/>
    <x v="0"/>
    <x v="7"/>
    <s v="Leaves"/>
    <x v="2"/>
    <s v="Wisconsin"/>
    <x v="0"/>
    <s v="Decaf"/>
    <n v="80"/>
    <n v="150"/>
    <n v="20"/>
    <n v="70"/>
    <x v="5"/>
    <n v="43"/>
  </r>
  <r>
    <n v="563"/>
    <x v="0"/>
    <x v="8"/>
    <s v="Leaves"/>
    <x v="2"/>
    <s v="Iowa"/>
    <x v="0"/>
    <s v="Decaf"/>
    <n v="90"/>
    <n v="200"/>
    <n v="30"/>
    <n v="86"/>
    <x v="0"/>
    <n v="53"/>
  </r>
  <r>
    <n v="314"/>
    <x v="0"/>
    <x v="8"/>
    <s v="Leaves"/>
    <x v="2"/>
    <s v="Missouri"/>
    <x v="0"/>
    <s v="Decaf"/>
    <n v="-20"/>
    <n v="80"/>
    <n v="27"/>
    <n v="-39"/>
    <x v="26"/>
    <n v="50"/>
  </r>
  <r>
    <n v="715"/>
    <x v="0"/>
    <x v="8"/>
    <s v="Leaves"/>
    <x v="2"/>
    <s v="Wisconsin"/>
    <x v="0"/>
    <s v="Decaf"/>
    <n v="50"/>
    <n v="70"/>
    <n v="9"/>
    <n v="28"/>
    <x v="25"/>
    <n v="20"/>
  </r>
  <r>
    <n v="860"/>
    <x v="0"/>
    <x v="8"/>
    <s v="Leaves"/>
    <x v="2"/>
    <s v="Connecticut"/>
    <x v="1"/>
    <s v="Decaf"/>
    <n v="40"/>
    <n v="140"/>
    <n v="32"/>
    <n v="40"/>
    <x v="3"/>
    <n v="65"/>
  </r>
  <r>
    <n v="603"/>
    <x v="0"/>
    <x v="8"/>
    <s v="Leaves"/>
    <x v="2"/>
    <s v="New Hampshire"/>
    <x v="1"/>
    <s v="Decaf"/>
    <n v="0"/>
    <n v="50"/>
    <n v="12"/>
    <n v="-4"/>
    <x v="40"/>
    <n v="46"/>
  </r>
  <r>
    <n v="475"/>
    <x v="0"/>
    <x v="9"/>
    <s v="Leaves"/>
    <x v="2"/>
    <s v="Connecticut"/>
    <x v="1"/>
    <s v="Decaf"/>
    <n v="50"/>
    <n v="130"/>
    <n v="24"/>
    <n v="47"/>
    <x v="24"/>
    <n v="45"/>
  </r>
  <r>
    <n v="337"/>
    <x v="0"/>
    <x v="7"/>
    <s v="Leaves"/>
    <x v="2"/>
    <s v="Louisiana"/>
    <x v="2"/>
    <s v="Decaf"/>
    <n v="40"/>
    <n v="100"/>
    <n v="16"/>
    <n v="35"/>
    <x v="44"/>
    <n v="28"/>
  </r>
  <r>
    <n v="505"/>
    <x v="0"/>
    <x v="7"/>
    <s v="Leaves"/>
    <x v="2"/>
    <s v="New Mexico"/>
    <x v="2"/>
    <s v="Decaf"/>
    <n v="20"/>
    <n v="40"/>
    <n v="5"/>
    <n v="11"/>
    <x v="34"/>
    <n v="16"/>
  </r>
  <r>
    <n v="918"/>
    <x v="0"/>
    <x v="7"/>
    <s v="Leaves"/>
    <x v="2"/>
    <s v="Oklahoma"/>
    <x v="2"/>
    <s v="Decaf"/>
    <n v="20"/>
    <n v="110"/>
    <n v="20"/>
    <n v="13"/>
    <x v="35"/>
    <n v="53"/>
  </r>
  <r>
    <n v="504"/>
    <x v="0"/>
    <x v="8"/>
    <s v="Leaves"/>
    <x v="2"/>
    <s v="Louisiana"/>
    <x v="2"/>
    <s v="Decaf"/>
    <n v="40"/>
    <n v="180"/>
    <n v="32"/>
    <n v="40"/>
    <x v="3"/>
    <n v="65"/>
  </r>
  <r>
    <n v="505"/>
    <x v="0"/>
    <x v="8"/>
    <s v="Leaves"/>
    <x v="2"/>
    <s v="New Mexico"/>
    <x v="2"/>
    <s v="Decaf"/>
    <n v="20"/>
    <n v="60"/>
    <n v="8"/>
    <n v="4"/>
    <x v="28"/>
    <n v="30"/>
  </r>
  <r>
    <n v="580"/>
    <x v="0"/>
    <x v="8"/>
    <s v="Leaves"/>
    <x v="2"/>
    <s v="Oklahoma"/>
    <x v="2"/>
    <s v="Decaf"/>
    <n v="30"/>
    <n v="180"/>
    <n v="72"/>
    <n v="10"/>
    <x v="3"/>
    <n v="101"/>
  </r>
  <r>
    <n v="702"/>
    <x v="0"/>
    <x v="7"/>
    <s v="Leaves"/>
    <x v="2"/>
    <s v="Nevada"/>
    <x v="3"/>
    <s v="Decaf"/>
    <n v="30"/>
    <n v="220"/>
    <n v="95"/>
    <n v="16"/>
    <x v="22"/>
    <n v="129"/>
  </r>
  <r>
    <n v="971"/>
    <x v="0"/>
    <x v="7"/>
    <s v="Leaves"/>
    <x v="2"/>
    <s v="Oregon"/>
    <x v="3"/>
    <s v="Decaf"/>
    <n v="40"/>
    <n v="70"/>
    <n v="10"/>
    <n v="33"/>
    <x v="42"/>
    <n v="21"/>
  </r>
  <r>
    <n v="801"/>
    <x v="0"/>
    <x v="7"/>
    <s v="Leaves"/>
    <x v="2"/>
    <s v="Utah"/>
    <x v="3"/>
    <s v="Decaf"/>
    <n v="30"/>
    <n v="80"/>
    <n v="12"/>
    <n v="21"/>
    <x v="36"/>
    <n v="34"/>
  </r>
  <r>
    <n v="206"/>
    <x v="0"/>
    <x v="7"/>
    <s v="Leaves"/>
    <x v="2"/>
    <s v="Washington"/>
    <x v="3"/>
    <s v="Decaf"/>
    <n v="120"/>
    <n v="270"/>
    <n v="40"/>
    <n v="115"/>
    <x v="37"/>
    <n v="71"/>
  </r>
  <r>
    <n v="775"/>
    <x v="0"/>
    <x v="8"/>
    <s v="Leaves"/>
    <x v="2"/>
    <s v="Nevada"/>
    <x v="3"/>
    <s v="Decaf"/>
    <n v="120"/>
    <n v="300"/>
    <n v="47"/>
    <n v="111"/>
    <x v="12"/>
    <n v="90"/>
  </r>
  <r>
    <n v="503"/>
    <x v="0"/>
    <x v="8"/>
    <s v="Leaves"/>
    <x v="2"/>
    <s v="Oregon"/>
    <x v="3"/>
    <s v="Decaf"/>
    <n v="30"/>
    <n v="80"/>
    <n v="14"/>
    <n v="29"/>
    <x v="39"/>
    <n v="27"/>
  </r>
  <r>
    <n v="435"/>
    <x v="0"/>
    <x v="8"/>
    <s v="Leaves"/>
    <x v="2"/>
    <s v="Utah"/>
    <x v="3"/>
    <s v="Decaf"/>
    <n v="30"/>
    <n v="100"/>
    <n v="15"/>
    <n v="25"/>
    <x v="35"/>
    <n v="47"/>
  </r>
  <r>
    <n v="360"/>
    <x v="0"/>
    <x v="8"/>
    <s v="Leaves"/>
    <x v="2"/>
    <s v="Washington"/>
    <x v="3"/>
    <s v="Decaf"/>
    <n v="50"/>
    <n v="70"/>
    <n v="9"/>
    <n v="30"/>
    <x v="38"/>
    <n v="21"/>
  </r>
  <r>
    <n v="702"/>
    <x v="0"/>
    <x v="9"/>
    <s v="Leaves"/>
    <x v="2"/>
    <s v="Nevada"/>
    <x v="3"/>
    <s v="Decaf"/>
    <n v="90"/>
    <n v="200"/>
    <n v="30"/>
    <n v="86"/>
    <x v="0"/>
    <n v="53"/>
  </r>
  <r>
    <n v="435"/>
    <x v="0"/>
    <x v="9"/>
    <s v="Leaves"/>
    <x v="2"/>
    <s v="Utah"/>
    <x v="3"/>
    <s v="Decaf"/>
    <n v="-30"/>
    <n v="80"/>
    <n v="27"/>
    <n v="-40"/>
    <x v="26"/>
    <n v="51"/>
  </r>
  <r>
    <n v="712"/>
    <x v="0"/>
    <x v="10"/>
    <s v="Leaves"/>
    <x v="3"/>
    <s v="Iowa"/>
    <x v="0"/>
    <s v="Regular"/>
    <n v="140"/>
    <n v="400"/>
    <n v="63"/>
    <n v="141"/>
    <x v="6"/>
    <n v="87"/>
  </r>
  <r>
    <n v="314"/>
    <x v="0"/>
    <x v="10"/>
    <s v="Leaves"/>
    <x v="3"/>
    <s v="Missouri"/>
    <x v="0"/>
    <s v="Regular"/>
    <n v="10"/>
    <n v="70"/>
    <n v="11"/>
    <n v="9"/>
    <x v="32"/>
    <n v="38"/>
  </r>
  <r>
    <n v="608"/>
    <x v="0"/>
    <x v="10"/>
    <s v="Leaves"/>
    <x v="3"/>
    <s v="Wisconsin"/>
    <x v="0"/>
    <s v="Regular"/>
    <n v="50"/>
    <n v="130"/>
    <n v="19"/>
    <n v="47"/>
    <x v="1"/>
    <n v="42"/>
  </r>
  <r>
    <n v="319"/>
    <x v="0"/>
    <x v="11"/>
    <s v="Leaves"/>
    <x v="3"/>
    <s v="Iowa"/>
    <x v="0"/>
    <s v="Regular"/>
    <n v="160"/>
    <n v="480"/>
    <n v="93"/>
    <n v="175"/>
    <x v="9"/>
    <n v="126"/>
  </r>
  <r>
    <n v="573"/>
    <x v="0"/>
    <x v="11"/>
    <s v="Leaves"/>
    <x v="3"/>
    <s v="Missouri"/>
    <x v="0"/>
    <s v="Regular"/>
    <n v="-10"/>
    <n v="50"/>
    <n v="11"/>
    <n v="-9"/>
    <x v="43"/>
    <n v="45"/>
  </r>
  <r>
    <n v="262"/>
    <x v="0"/>
    <x v="11"/>
    <s v="Leaves"/>
    <x v="3"/>
    <s v="Wisconsin"/>
    <x v="0"/>
    <s v="Regular"/>
    <n v="10"/>
    <n v="150"/>
    <n v="68"/>
    <n v="7"/>
    <x v="5"/>
    <n v="98"/>
  </r>
  <r>
    <n v="417"/>
    <x v="0"/>
    <x v="12"/>
    <s v="Leaves"/>
    <x v="3"/>
    <s v="Missouri"/>
    <x v="0"/>
    <s v="Regular"/>
    <n v="0"/>
    <n v="60"/>
    <n v="12"/>
    <n v="-4"/>
    <x v="40"/>
    <n v="46"/>
  </r>
  <r>
    <n v="475"/>
    <x v="0"/>
    <x v="10"/>
    <s v="Leaves"/>
    <x v="3"/>
    <s v="Connecticut"/>
    <x v="1"/>
    <s v="Regular"/>
    <n v="60"/>
    <n v="130"/>
    <n v="14"/>
    <n v="47"/>
    <x v="33"/>
    <n v="26"/>
  </r>
  <r>
    <n v="603"/>
    <x v="0"/>
    <x v="10"/>
    <s v="Leaves"/>
    <x v="3"/>
    <s v="New Hampshire"/>
    <x v="1"/>
    <s v="Regular"/>
    <n v="20"/>
    <n v="40"/>
    <n v="5"/>
    <n v="10"/>
    <x v="34"/>
    <n v="17"/>
  </r>
  <r>
    <n v="475"/>
    <x v="0"/>
    <x v="12"/>
    <s v="Leaves"/>
    <x v="3"/>
    <s v="Connecticut"/>
    <x v="1"/>
    <s v="Regular"/>
    <n v="40"/>
    <n v="100"/>
    <n v="10"/>
    <n v="35"/>
    <x v="46"/>
    <n v="21"/>
  </r>
  <r>
    <n v="603"/>
    <x v="0"/>
    <x v="12"/>
    <s v="Leaves"/>
    <x v="3"/>
    <s v="New Hampshire"/>
    <x v="1"/>
    <s v="Regular"/>
    <n v="20"/>
    <n v="40"/>
    <n v="4"/>
    <n v="11"/>
    <x v="29"/>
    <n v="15"/>
  </r>
  <r>
    <n v="775"/>
    <x v="0"/>
    <x v="10"/>
    <s v="Leaves"/>
    <x v="3"/>
    <s v="Nevada"/>
    <x v="3"/>
    <s v="Regular"/>
    <n v="150"/>
    <n v="370"/>
    <n v="77"/>
    <n v="203"/>
    <x v="9"/>
    <n v="109"/>
  </r>
  <r>
    <n v="971"/>
    <x v="0"/>
    <x v="10"/>
    <s v="Leaves"/>
    <x v="3"/>
    <s v="Oregon"/>
    <x v="3"/>
    <s v="Regular"/>
    <n v="30"/>
    <n v="50"/>
    <n v="8"/>
    <n v="28"/>
    <x v="27"/>
    <n v="20"/>
  </r>
  <r>
    <n v="435"/>
    <x v="0"/>
    <x v="10"/>
    <s v="Leaves"/>
    <x v="3"/>
    <s v="Utah"/>
    <x v="3"/>
    <s v="Regular"/>
    <n v="0"/>
    <n v="60"/>
    <n v="34"/>
    <n v="-10"/>
    <x v="42"/>
    <n v="63"/>
  </r>
  <r>
    <n v="360"/>
    <x v="0"/>
    <x v="10"/>
    <s v="Leaves"/>
    <x v="3"/>
    <s v="Washington"/>
    <x v="3"/>
    <s v="Regular"/>
    <n v="50"/>
    <n v="120"/>
    <n v="20"/>
    <n v="70"/>
    <x v="5"/>
    <n v="43"/>
  </r>
  <r>
    <n v="775"/>
    <x v="0"/>
    <x v="11"/>
    <s v="Leaves"/>
    <x v="3"/>
    <s v="Nevada"/>
    <x v="3"/>
    <s v="Regular"/>
    <n v="100"/>
    <n v="310"/>
    <n v="63"/>
    <n v="141"/>
    <x v="6"/>
    <n v="87"/>
  </r>
  <r>
    <n v="503"/>
    <x v="0"/>
    <x v="11"/>
    <s v="Leaves"/>
    <x v="3"/>
    <s v="Oregon"/>
    <x v="3"/>
    <s v="Regular"/>
    <n v="60"/>
    <n v="140"/>
    <n v="27"/>
    <n v="68"/>
    <x v="13"/>
    <n v="58"/>
  </r>
  <r>
    <n v="435"/>
    <x v="0"/>
    <x v="11"/>
    <s v="Leaves"/>
    <x v="3"/>
    <s v="Utah"/>
    <x v="3"/>
    <s v="Regular"/>
    <n v="10"/>
    <n v="50"/>
    <n v="11"/>
    <n v="9"/>
    <x v="32"/>
    <n v="38"/>
  </r>
  <r>
    <n v="253"/>
    <x v="0"/>
    <x v="11"/>
    <s v="Leaves"/>
    <x v="3"/>
    <s v="Washington"/>
    <x v="3"/>
    <s v="Regular"/>
    <n v="40"/>
    <n v="100"/>
    <n v="19"/>
    <n v="48"/>
    <x v="1"/>
    <n v="41"/>
  </r>
  <r>
    <n v="702"/>
    <x v="0"/>
    <x v="12"/>
    <s v="Leaves"/>
    <x v="3"/>
    <s v="Nevada"/>
    <x v="3"/>
    <s v="Regular"/>
    <n v="-240"/>
    <n v="0"/>
    <n v="93"/>
    <n v="345"/>
    <x v="47"/>
    <n v="126"/>
  </r>
  <r>
    <n v="541"/>
    <x v="0"/>
    <x v="12"/>
    <s v="Leaves"/>
    <x v="3"/>
    <s v="Oregon"/>
    <x v="3"/>
    <s v="Regular"/>
    <n v="50"/>
    <n v="130"/>
    <n v="26"/>
    <n v="67"/>
    <x v="2"/>
    <n v="49"/>
  </r>
  <r>
    <n v="435"/>
    <x v="0"/>
    <x v="12"/>
    <s v="Leaves"/>
    <x v="3"/>
    <s v="Utah"/>
    <x v="3"/>
    <s v="Regular"/>
    <n v="10"/>
    <n v="40"/>
    <n v="11"/>
    <n v="-9"/>
    <x v="43"/>
    <n v="45"/>
  </r>
  <r>
    <n v="360"/>
    <x v="0"/>
    <x v="12"/>
    <s v="Leaves"/>
    <x v="3"/>
    <s v="Washington"/>
    <x v="3"/>
    <s v="Regular"/>
    <n v="20"/>
    <n v="120"/>
    <n v="68"/>
    <n v="8"/>
    <x v="5"/>
    <n v="97"/>
  </r>
  <r>
    <n v="719"/>
    <x v="1"/>
    <x v="0"/>
    <s v="Beans"/>
    <x v="0"/>
    <s v="Colorado"/>
    <x v="0"/>
    <s v="Decaf"/>
    <n v="110"/>
    <n v="240"/>
    <n v="26"/>
    <n v="99"/>
    <x v="48"/>
    <n v="38"/>
  </r>
  <r>
    <n v="847"/>
    <x v="1"/>
    <x v="0"/>
    <s v="Beans"/>
    <x v="0"/>
    <s v="Illinois"/>
    <x v="0"/>
    <s v="Decaf"/>
    <n v="100"/>
    <n v="260"/>
    <n v="33"/>
    <n v="95"/>
    <x v="49"/>
    <n v="55"/>
  </r>
  <r>
    <n v="614"/>
    <x v="1"/>
    <x v="0"/>
    <s v="Beans"/>
    <x v="0"/>
    <s v="Ohio"/>
    <x v="0"/>
    <s v="Decaf"/>
    <n v="20"/>
    <n v="130"/>
    <n v="49"/>
    <n v="-3"/>
    <x v="50"/>
    <n v="78"/>
  </r>
  <r>
    <n v="305"/>
    <x v="1"/>
    <x v="0"/>
    <s v="Beans"/>
    <x v="0"/>
    <s v="Florida"/>
    <x v="1"/>
    <s v="Decaf"/>
    <n v="70"/>
    <n v="190"/>
    <n v="26"/>
    <n v="71"/>
    <x v="51"/>
    <n v="49"/>
  </r>
  <r>
    <n v="432"/>
    <x v="1"/>
    <x v="0"/>
    <s v="Beans"/>
    <x v="0"/>
    <s v="Texas"/>
    <x v="2"/>
    <s v="Decaf"/>
    <n v="100"/>
    <n v="230"/>
    <n v="27"/>
    <n v="68"/>
    <x v="3"/>
    <n v="39"/>
  </r>
  <r>
    <n v="818"/>
    <x v="1"/>
    <x v="0"/>
    <s v="Beans"/>
    <x v="0"/>
    <s v="California"/>
    <x v="3"/>
    <s v="Decaf"/>
    <n v="-110"/>
    <n v="150"/>
    <n v="48"/>
    <n v="-117"/>
    <x v="52"/>
    <n v="91"/>
  </r>
  <r>
    <n v="303"/>
    <x v="1"/>
    <x v="1"/>
    <s v="Beans"/>
    <x v="1"/>
    <s v="Colorado"/>
    <x v="0"/>
    <s v="Decaf"/>
    <n v="90"/>
    <n v="220"/>
    <n v="24"/>
    <n v="59"/>
    <x v="53"/>
    <n v="55"/>
  </r>
  <r>
    <n v="312"/>
    <x v="1"/>
    <x v="1"/>
    <s v="Beans"/>
    <x v="1"/>
    <s v="Illinois"/>
    <x v="0"/>
    <s v="Decaf"/>
    <n v="180"/>
    <n v="530"/>
    <n v="63"/>
    <n v="142"/>
    <x v="54"/>
    <n v="87"/>
  </r>
  <r>
    <n v="614"/>
    <x v="1"/>
    <x v="1"/>
    <s v="Beans"/>
    <x v="1"/>
    <s v="Ohio"/>
    <x v="0"/>
    <s v="Decaf"/>
    <n v="40"/>
    <n v="150"/>
    <n v="22"/>
    <n v="18"/>
    <x v="55"/>
    <n v="55"/>
  </r>
  <r>
    <n v="407"/>
    <x v="1"/>
    <x v="1"/>
    <s v="Beans"/>
    <x v="1"/>
    <s v="Florida"/>
    <x v="1"/>
    <s v="Decaf"/>
    <n v="60"/>
    <n v="170"/>
    <n v="25"/>
    <n v="51"/>
    <x v="5"/>
    <n v="52"/>
  </r>
  <r>
    <n v="956"/>
    <x v="1"/>
    <x v="1"/>
    <s v="Beans"/>
    <x v="1"/>
    <s v="Texas"/>
    <x v="2"/>
    <s v="Decaf"/>
    <n v="90"/>
    <n v="160"/>
    <n v="21"/>
    <n v="80"/>
    <x v="53"/>
    <n v="32"/>
  </r>
  <r>
    <n v="951"/>
    <x v="1"/>
    <x v="1"/>
    <s v="Beans"/>
    <x v="1"/>
    <s v="California"/>
    <x v="3"/>
    <s v="Decaf"/>
    <n v="200"/>
    <n v="520"/>
    <n v="77"/>
    <n v="202"/>
    <x v="56"/>
    <n v="109"/>
  </r>
  <r>
    <n v="303"/>
    <x v="1"/>
    <x v="2"/>
    <s v="Beans"/>
    <x v="0"/>
    <s v="Colorado"/>
    <x v="0"/>
    <s v="Regular"/>
    <n v="120"/>
    <n v="250"/>
    <n v="27"/>
    <n v="105"/>
    <x v="57"/>
    <n v="39"/>
  </r>
  <r>
    <n v="937"/>
    <x v="1"/>
    <x v="2"/>
    <s v="Beans"/>
    <x v="0"/>
    <s v="Ohio"/>
    <x v="0"/>
    <s v="Regular"/>
    <n v="50"/>
    <n v="140"/>
    <n v="19"/>
    <n v="33"/>
    <x v="11"/>
    <n v="47"/>
  </r>
  <r>
    <n v="720"/>
    <x v="1"/>
    <x v="3"/>
    <s v="Beans"/>
    <x v="0"/>
    <s v="Colorado"/>
    <x v="0"/>
    <s v="Regular"/>
    <n v="80"/>
    <n v="190"/>
    <n v="27"/>
    <n v="68"/>
    <x v="3"/>
    <n v="39"/>
  </r>
  <r>
    <n v="312"/>
    <x v="1"/>
    <x v="3"/>
    <s v="Beans"/>
    <x v="0"/>
    <s v="Illinois"/>
    <x v="0"/>
    <s v="Regular"/>
    <n v="140"/>
    <n v="370"/>
    <n v="48"/>
    <n v="115"/>
    <x v="58"/>
    <n v="91"/>
  </r>
  <r>
    <n v="513"/>
    <x v="1"/>
    <x v="3"/>
    <s v="Beans"/>
    <x v="0"/>
    <s v="Ohio"/>
    <x v="0"/>
    <s v="Regular"/>
    <n v="50"/>
    <n v="130"/>
    <n v="16"/>
    <n v="38"/>
    <x v="59"/>
    <n v="38"/>
  </r>
  <r>
    <n v="754"/>
    <x v="1"/>
    <x v="3"/>
    <s v="Beans"/>
    <x v="0"/>
    <s v="Florida"/>
    <x v="1"/>
    <s v="Regular"/>
    <n v="80"/>
    <n v="190"/>
    <n v="26"/>
    <n v="63"/>
    <x v="2"/>
    <n v="57"/>
  </r>
  <r>
    <n v="774"/>
    <x v="1"/>
    <x v="3"/>
    <s v="Beans"/>
    <x v="0"/>
    <s v="Massachusetts"/>
    <x v="1"/>
    <s v="Regular"/>
    <n v="330"/>
    <n v="440"/>
    <n v="24"/>
    <n v="340"/>
    <x v="60"/>
    <n v="55"/>
  </r>
  <r>
    <n v="917"/>
    <x v="1"/>
    <x v="3"/>
    <s v="Beans"/>
    <x v="0"/>
    <s v="New York"/>
    <x v="1"/>
    <s v="Regular"/>
    <n v="250"/>
    <n v="610"/>
    <n v="90"/>
    <n v="245"/>
    <x v="61"/>
    <n v="142"/>
  </r>
  <r>
    <n v="972"/>
    <x v="1"/>
    <x v="3"/>
    <s v="Beans"/>
    <x v="0"/>
    <s v="Texas"/>
    <x v="2"/>
    <s v="Regular"/>
    <n v="240"/>
    <n v="580"/>
    <n v="66"/>
    <n v="164"/>
    <x v="62"/>
    <n v="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970"/>
    <x v="0"/>
    <s v="Decaf Irish Cream"/>
    <s v="Beans"/>
    <s v="Coffee"/>
    <s v="Colorado"/>
    <s v="Central"/>
    <s v="Decaf"/>
    <n v="110"/>
    <n v="240"/>
    <n v="26"/>
    <n v="101"/>
    <n v="234"/>
    <n v="38"/>
  </r>
  <r>
    <n v="970"/>
    <x v="0"/>
    <s v="Decaf Irish Cream"/>
    <s v="Beans"/>
    <s v="Coffee"/>
    <s v="Colorado"/>
    <s v="Central"/>
    <s v="Decaf"/>
    <n v="110"/>
    <n v="240"/>
    <n v="26"/>
    <n v="101"/>
    <n v="234"/>
    <n v="38"/>
  </r>
  <r>
    <n v="309"/>
    <x v="0"/>
    <s v="Decaf Irish Cream"/>
    <s v="Beans"/>
    <s v="Coffee"/>
    <s v="Illinois"/>
    <s v="Central"/>
    <s v="Decaf"/>
    <n v="100"/>
    <n v="240"/>
    <n v="30"/>
    <n v="87"/>
    <n v="234"/>
    <n v="52"/>
  </r>
  <r>
    <n v="614"/>
    <x v="0"/>
    <s v="Decaf Irish Cream"/>
    <s v="Beans"/>
    <s v="Coffee"/>
    <s v="Ohio"/>
    <s v="Central"/>
    <s v="Decaf"/>
    <n v="20"/>
    <n v="150"/>
    <n v="57"/>
    <n v="0"/>
    <n v="150"/>
    <n v="87"/>
  </r>
  <r>
    <n v="754"/>
    <x v="0"/>
    <s v="Decaf Irish Cream"/>
    <s v="Beans"/>
    <s v="Coffee"/>
    <s v="Florida"/>
    <s v="East"/>
    <s v="Decaf"/>
    <n v="70"/>
    <n v="190"/>
    <n v="26"/>
    <n v="67"/>
    <n v="200"/>
    <n v="49"/>
  </r>
  <r>
    <n v="325"/>
    <x v="0"/>
    <s v="Decaf Irish Cream"/>
    <s v="Beans"/>
    <s v="Coffee"/>
    <s v="Texas"/>
    <s v="South"/>
    <s v="Decaf"/>
    <n v="100"/>
    <n v="230"/>
    <n v="27"/>
    <n v="68"/>
    <n v="190"/>
    <n v="39"/>
  </r>
  <r>
    <n v="650"/>
    <x v="0"/>
    <s v="Decaf Irish Cream"/>
    <s v="Beans"/>
    <s v="Coffee"/>
    <s v="California"/>
    <s v="West"/>
    <s v="Decaf"/>
    <n v="-120"/>
    <n v="140"/>
    <n v="47"/>
    <n v="-117"/>
    <n v="118"/>
    <n v="91"/>
  </r>
  <r>
    <n v="720"/>
    <x v="0"/>
    <s v="Decaf Espresso"/>
    <s v="Beans"/>
    <s v="Espresso"/>
    <s v="Colorado"/>
    <s v="Central"/>
    <s v="Decaf"/>
    <n v="80"/>
    <n v="210"/>
    <n v="23"/>
    <n v="53"/>
    <n v="180"/>
    <n v="55"/>
  </r>
  <r>
    <n v="630"/>
    <x v="0"/>
    <s v="Decaf Espresso"/>
    <s v="Beans"/>
    <s v="Espresso"/>
    <s v="Illinois"/>
    <s v="Central"/>
    <s v="Decaf"/>
    <n v="180"/>
    <n v="530"/>
    <n v="63"/>
    <n v="140"/>
    <n v="456"/>
    <n v="88"/>
  </r>
  <r>
    <n v="614"/>
    <x v="0"/>
    <s v="Decaf Espresso"/>
    <s v="Beans"/>
    <s v="Espresso"/>
    <s v="Ohio"/>
    <s v="Central"/>
    <s v="Decaf"/>
    <n v="40"/>
    <n v="150"/>
    <n v="22"/>
    <n v="16"/>
    <n v="130"/>
    <n v="56"/>
  </r>
  <r>
    <n v="754"/>
    <x v="0"/>
    <s v="Decaf Espresso"/>
    <s v="Beans"/>
    <s v="Espresso"/>
    <s v="Florida"/>
    <s v="East"/>
    <s v="Decaf"/>
    <n v="60"/>
    <n v="170"/>
    <n v="25"/>
    <n v="50"/>
    <n v="180"/>
    <n v="53"/>
  </r>
  <r>
    <n v="956"/>
    <x v="0"/>
    <s v="Decaf Espresso"/>
    <s v="Beans"/>
    <s v="Espresso"/>
    <s v="Texas"/>
    <s v="South"/>
    <s v="Decaf"/>
    <n v="60"/>
    <n v="110"/>
    <n v="15"/>
    <n v="54"/>
    <n v="134"/>
    <n v="26"/>
  </r>
  <r>
    <n v="213"/>
    <x v="0"/>
    <s v="Decaf Espresso"/>
    <s v="Beans"/>
    <s v="Espresso"/>
    <s v="California"/>
    <s v="West"/>
    <s v="Decaf"/>
    <n v="200"/>
    <n v="520"/>
    <n v="77"/>
    <n v="203"/>
    <n v="546"/>
    <n v="109"/>
  </r>
  <r>
    <n v="719"/>
    <x v="0"/>
    <s v="Amaretto"/>
    <s v="Beans"/>
    <s v="Coffee"/>
    <s v="Colorado"/>
    <s v="Central"/>
    <s v="Regular"/>
    <n v="100"/>
    <n v="220"/>
    <n v="24"/>
    <n v="94"/>
    <n v="219"/>
    <n v="36"/>
  </r>
  <r>
    <n v="740"/>
    <x v="0"/>
    <s v="Amaretto"/>
    <s v="Beans"/>
    <s v="Coffee"/>
    <s v="Ohio"/>
    <s v="Central"/>
    <s v="Regular"/>
    <n v="50"/>
    <n v="140"/>
    <n v="19"/>
    <n v="34"/>
    <n v="140"/>
    <n v="46"/>
  </r>
  <r>
    <n v="970"/>
    <x v="0"/>
    <s v="Colombian"/>
    <s v="Beans"/>
    <s v="Coffee"/>
    <s v="Colorado"/>
    <s v="Central"/>
    <s v="Regular"/>
    <n v="80"/>
    <n v="190"/>
    <n v="27"/>
    <n v="68"/>
    <n v="190"/>
    <n v="39"/>
  </r>
  <r>
    <n v="217"/>
    <x v="0"/>
    <s v="Colombian"/>
    <s v="Beans"/>
    <s v="Coffee"/>
    <s v="Illinois"/>
    <s v="Central"/>
    <s v="Regular"/>
    <n v="130"/>
    <n v="360"/>
    <n v="47"/>
    <n v="111"/>
    <n v="345"/>
    <n v="90"/>
  </r>
  <r>
    <n v="614"/>
    <x v="0"/>
    <s v="Colombian"/>
    <s v="Beans"/>
    <s v="Coffee"/>
    <s v="Ohio"/>
    <s v="Central"/>
    <s v="Regular"/>
    <n v="50"/>
    <n v="140"/>
    <n v="18"/>
    <n v="42"/>
    <n v="140"/>
    <n v="41"/>
  </r>
  <r>
    <n v="954"/>
    <x v="0"/>
    <s v="Colombian"/>
    <s v="Beans"/>
    <s v="Coffee"/>
    <s v="Florida"/>
    <s v="East"/>
    <s v="Regular"/>
    <n v="70"/>
    <n v="190"/>
    <n v="27"/>
    <n v="68"/>
    <n v="210"/>
    <n v="58"/>
  </r>
  <r>
    <n v="413"/>
    <x v="0"/>
    <s v="Colombian"/>
    <s v="Beans"/>
    <s v="Coffee"/>
    <s v="Massachusetts"/>
    <s v="East"/>
    <s v="Regular"/>
    <n v="360"/>
    <n v="460"/>
    <n v="23"/>
    <n v="367"/>
    <n v="494"/>
    <n v="55"/>
  </r>
  <r>
    <n v="716"/>
    <x v="0"/>
    <s v="Colombian"/>
    <s v="Beans"/>
    <s v="Coffee"/>
    <s v="New York"/>
    <s v="East"/>
    <s v="Regular"/>
    <n v="260"/>
    <n v="640"/>
    <n v="94"/>
    <n v="262"/>
    <n v="678"/>
    <n v="145"/>
  </r>
  <r>
    <n v="409"/>
    <x v="0"/>
    <s v="Colombian"/>
    <s v="Beans"/>
    <s v="Coffee"/>
    <s v="Texas"/>
    <s v="South"/>
    <s v="Regular"/>
    <n v="220"/>
    <n v="560"/>
    <n v="64"/>
    <n v="159"/>
    <n v="452"/>
    <n v="86"/>
  </r>
  <r>
    <n v="916"/>
    <x v="0"/>
    <s v="Amaretto"/>
    <s v="Beans"/>
    <s v="Coffee"/>
    <s v="California"/>
    <s v="West"/>
    <s v="Regular"/>
    <n v="30"/>
    <n v="180"/>
    <n v="30"/>
    <n v="-2"/>
    <n v="145"/>
    <n v="52"/>
  </r>
  <r>
    <n v="559"/>
    <x v="0"/>
    <s v="Colombian"/>
    <s v="Beans"/>
    <s v="Coffee"/>
    <s v="California"/>
    <s v="West"/>
    <s v="Regular"/>
    <n v="370"/>
    <n v="840"/>
    <n v="94"/>
    <n v="262"/>
    <n v="678"/>
    <n v="145"/>
  </r>
  <r>
    <n v="303"/>
    <x v="0"/>
    <s v="Caffe Mocha"/>
    <s v="Beans"/>
    <s v="Espresso"/>
    <s v="Colorado"/>
    <s v="Central"/>
    <s v="Regular"/>
    <n v="70"/>
    <n v="150"/>
    <n v="15"/>
    <n v="54"/>
    <n v="134"/>
    <n v="26"/>
  </r>
  <r>
    <n v="309"/>
    <x v="0"/>
    <s v="Caffe Mocha"/>
    <s v="Beans"/>
    <s v="Espresso"/>
    <s v="Illinois"/>
    <s v="Central"/>
    <s v="Regular"/>
    <n v="260"/>
    <n v="640"/>
    <n v="77"/>
    <n v="203"/>
    <n v="546"/>
    <n v="109"/>
  </r>
  <r>
    <n v="614"/>
    <x v="0"/>
    <s v="Caffe Mocha"/>
    <s v="Beans"/>
    <s v="Espresso"/>
    <s v="Ohio"/>
    <s v="Central"/>
    <s v="Regular"/>
    <n v="140"/>
    <n v="400"/>
    <n v="47"/>
    <n v="99"/>
    <n v="341"/>
    <n v="72"/>
  </r>
  <r>
    <n v="239"/>
    <x v="0"/>
    <s v="Caffe Mocha"/>
    <s v="Beans"/>
    <s v="Espresso"/>
    <s v="Florida"/>
    <s v="East"/>
    <s v="Regular"/>
    <n v="30"/>
    <n v="180"/>
    <n v="72"/>
    <n v="9"/>
    <n v="190"/>
    <n v="102"/>
  </r>
  <r>
    <n v="781"/>
    <x v="0"/>
    <s v="Caffe Mocha"/>
    <s v="Beans"/>
    <s v="Espresso"/>
    <s v="Massachusetts"/>
    <s v="East"/>
    <s v="Regular"/>
    <n v="-10"/>
    <n v="120"/>
    <n v="57"/>
    <n v="-23"/>
    <n v="126"/>
    <n v="86"/>
  </r>
  <r>
    <n v="315"/>
    <x v="0"/>
    <s v="Caffe Mocha"/>
    <s v="Beans"/>
    <s v="Espresso"/>
    <s v="New York"/>
    <s v="East"/>
    <s v="Regular"/>
    <n v="-170"/>
    <n v="50"/>
    <n v="95"/>
    <n v="-172"/>
    <n v="61"/>
    <n v="128"/>
  </r>
  <r>
    <n v="978"/>
    <x v="0"/>
    <s v="Regular Espresso"/>
    <s v="Beans"/>
    <s v="Espresso"/>
    <s v="Massachusetts"/>
    <s v="East"/>
    <s v="Regular"/>
    <n v="110"/>
    <n v="330"/>
    <n v="47"/>
    <n v="100"/>
    <n v="341"/>
    <n v="71"/>
  </r>
  <r>
    <n v="631"/>
    <x v="0"/>
    <s v="Regular Espresso"/>
    <s v="Beans"/>
    <s v="Espresso"/>
    <s v="New York"/>
    <s v="East"/>
    <s v="Regular"/>
    <n v="200"/>
    <n v="480"/>
    <n v="63"/>
    <n v="175"/>
    <n v="490"/>
    <n v="87"/>
  </r>
  <r>
    <n v="830"/>
    <x v="0"/>
    <s v="Caffe Latte"/>
    <s v="Beans"/>
    <s v="Espresso"/>
    <s v="Texas"/>
    <s v="South"/>
    <s v="Regular"/>
    <n v="50"/>
    <n v="150"/>
    <n v="23"/>
    <n v="53"/>
    <n v="180"/>
    <n v="55"/>
  </r>
  <r>
    <n v="325"/>
    <x v="0"/>
    <s v="Caffe Mocha"/>
    <s v="Beans"/>
    <s v="Espresso"/>
    <s v="Texas"/>
    <s v="South"/>
    <s v="Regular"/>
    <n v="90"/>
    <n v="180"/>
    <n v="24"/>
    <n v="95"/>
    <n v="219"/>
    <n v="35"/>
  </r>
  <r>
    <n v="661"/>
    <x v="0"/>
    <s v="Caffe Latte"/>
    <s v="Beans"/>
    <s v="Espresso"/>
    <s v="California"/>
    <s v="West"/>
    <s v="Regular"/>
    <n v="150"/>
    <n v="430"/>
    <n v="63"/>
    <n v="140"/>
    <n v="456"/>
    <n v="88"/>
  </r>
  <r>
    <n v="818"/>
    <x v="0"/>
    <s v="Caffe Mocha"/>
    <s v="Beans"/>
    <s v="Espresso"/>
    <s v="California"/>
    <s v="West"/>
    <s v="Regular"/>
    <n v="20"/>
    <n v="240"/>
    <n v="95"/>
    <n v="17"/>
    <n v="250"/>
    <n v="128"/>
  </r>
  <r>
    <n v="712"/>
    <x v="0"/>
    <s v="Decaf Irish Cream"/>
    <s v="Beans"/>
    <s v="Coffee"/>
    <s v="Iowa"/>
    <s v="Central"/>
    <s v="Decaf"/>
    <n v="20"/>
    <n v="50"/>
    <n v="7"/>
    <n v="12"/>
    <n v="54"/>
    <n v="19"/>
  </r>
  <r>
    <n v="573"/>
    <x v="0"/>
    <s v="Decaf Irish Cream"/>
    <s v="Beans"/>
    <s v="Coffee"/>
    <s v="Missouri"/>
    <s v="Central"/>
    <s v="Decaf"/>
    <n v="50"/>
    <n v="170"/>
    <n v="24"/>
    <n v="47"/>
    <n v="170"/>
    <n v="45"/>
  </r>
  <r>
    <n v="414"/>
    <x v="0"/>
    <s v="Decaf Irish Cream"/>
    <s v="Beans"/>
    <s v="Coffee"/>
    <s v="Wisconsin"/>
    <s v="Central"/>
    <s v="Decaf"/>
    <n v="60"/>
    <n v="180"/>
    <n v="25"/>
    <n v="51"/>
    <n v="180"/>
    <n v="52"/>
  </r>
  <r>
    <n v="985"/>
    <x v="0"/>
    <s v="Decaf Irish Cream"/>
    <s v="Beans"/>
    <s v="Coffee"/>
    <s v="Louisiana"/>
    <s v="South"/>
    <s v="Decaf"/>
    <n v="50"/>
    <n v="100"/>
    <n v="9"/>
    <n v="28"/>
    <n v="81"/>
    <n v="20"/>
  </r>
  <r>
    <n v="505"/>
    <x v="0"/>
    <s v="Decaf Irish Cream"/>
    <s v="Beans"/>
    <s v="Coffee"/>
    <s v="New Mexico"/>
    <s v="South"/>
    <s v="Decaf"/>
    <n v="-30"/>
    <n v="120"/>
    <n v="27"/>
    <n v="-39"/>
    <n v="99"/>
    <n v="50"/>
  </r>
  <r>
    <n v="580"/>
    <x v="0"/>
    <s v="Decaf Irish Cream"/>
    <s v="Beans"/>
    <s v="Coffee"/>
    <s v="Oklahoma"/>
    <s v="South"/>
    <s v="Decaf"/>
    <n v="50"/>
    <n v="100"/>
    <n v="8"/>
    <n v="28"/>
    <n v="80"/>
    <n v="20"/>
  </r>
  <r>
    <n v="775"/>
    <x v="0"/>
    <s v="Decaf Irish Cream"/>
    <s v="Beans"/>
    <s v="Coffee"/>
    <s v="Nevada"/>
    <s v="West"/>
    <s v="Decaf"/>
    <n v="20"/>
    <n v="70"/>
    <n v="8"/>
    <n v="4"/>
    <n v="62"/>
    <n v="30"/>
  </r>
  <r>
    <n v="971"/>
    <x v="0"/>
    <s v="Decaf Irish Cream"/>
    <s v="Beans"/>
    <s v="Coffee"/>
    <s v="Oregon"/>
    <s v="West"/>
    <s v="Decaf"/>
    <n v="70"/>
    <n v="170"/>
    <n v="18"/>
    <n v="42"/>
    <n v="140"/>
    <n v="41"/>
  </r>
  <r>
    <n v="801"/>
    <x v="0"/>
    <s v="Decaf Irish Cream"/>
    <s v="Beans"/>
    <s v="Coffee"/>
    <s v="Utah"/>
    <s v="West"/>
    <s v="Decaf"/>
    <n v="70"/>
    <n v="230"/>
    <n v="32"/>
    <n v="39"/>
    <n v="190"/>
    <n v="66"/>
  </r>
  <r>
    <n v="509"/>
    <x v="0"/>
    <s v="Decaf Irish Cream"/>
    <s v="Beans"/>
    <s v="Coffee"/>
    <s v="Washington"/>
    <s v="West"/>
    <s v="Decaf"/>
    <n v="60"/>
    <n v="230"/>
    <n v="72"/>
    <n v="9"/>
    <n v="190"/>
    <n v="102"/>
  </r>
  <r>
    <n v="563"/>
    <x v="0"/>
    <s v="Decaf Espresso"/>
    <s v="Beans"/>
    <s v="Espresso"/>
    <s v="Iowa"/>
    <s v="Central"/>
    <s v="Decaf"/>
    <n v="30"/>
    <n v="50"/>
    <n v="4"/>
    <n v="10"/>
    <n v="43"/>
    <n v="16"/>
  </r>
  <r>
    <n v="660"/>
    <x v="0"/>
    <s v="Decaf Espresso"/>
    <s v="Beans"/>
    <s v="Espresso"/>
    <s v="Missouri"/>
    <s v="Central"/>
    <s v="Decaf"/>
    <n v="60"/>
    <n v="130"/>
    <n v="12"/>
    <n v="45"/>
    <n v="114"/>
    <n v="23"/>
  </r>
  <r>
    <n v="262"/>
    <x v="0"/>
    <s v="Decaf Espresso"/>
    <s v="Beans"/>
    <s v="Espresso"/>
    <s v="Wisconsin"/>
    <s v="Central"/>
    <s v="Decaf"/>
    <n v="50"/>
    <n v="120"/>
    <n v="15"/>
    <n v="34"/>
    <n v="110"/>
    <n v="28"/>
  </r>
  <r>
    <n v="475"/>
    <x v="0"/>
    <s v="Decaf Espresso"/>
    <s v="Beans"/>
    <s v="Espresso"/>
    <s v="Connecticut"/>
    <s v="East"/>
    <s v="Decaf"/>
    <n v="40"/>
    <n v="120"/>
    <n v="18"/>
    <n v="30"/>
    <n v="130"/>
    <n v="45"/>
  </r>
  <r>
    <n v="337"/>
    <x v="0"/>
    <s v="Decaf Espresso"/>
    <s v="Beans"/>
    <s v="Espresso"/>
    <s v="Louisiana"/>
    <s v="South"/>
    <s v="Decaf"/>
    <n v="50"/>
    <n v="120"/>
    <n v="19"/>
    <n v="48"/>
    <n v="150"/>
    <n v="41"/>
  </r>
  <r>
    <n v="505"/>
    <x v="0"/>
    <s v="Decaf Espresso"/>
    <s v="Beans"/>
    <s v="Espresso"/>
    <s v="New Mexico"/>
    <s v="South"/>
    <s v="Decaf"/>
    <n v="10"/>
    <n v="70"/>
    <n v="11"/>
    <n v="9"/>
    <n v="82"/>
    <n v="38"/>
  </r>
  <r>
    <n v="405"/>
    <x v="0"/>
    <s v="Decaf Espresso"/>
    <s v="Beans"/>
    <s v="Espresso"/>
    <s v="Oklahoma"/>
    <s v="South"/>
    <s v="Decaf"/>
    <n v="70"/>
    <n v="180"/>
    <n v="27"/>
    <n v="67"/>
    <n v="210"/>
    <n v="59"/>
  </r>
  <r>
    <n v="775"/>
    <x v="0"/>
    <s v="Decaf Espresso"/>
    <s v="Beans"/>
    <s v="Espresso"/>
    <s v="Nevada"/>
    <s v="West"/>
    <s v="Decaf"/>
    <n v="20"/>
    <n v="40"/>
    <n v="4"/>
    <n v="11"/>
    <n v="43"/>
    <n v="15"/>
  </r>
  <r>
    <n v="971"/>
    <x v="0"/>
    <s v="Decaf Espresso"/>
    <s v="Beans"/>
    <s v="Espresso"/>
    <s v="Oregon"/>
    <s v="West"/>
    <s v="Decaf"/>
    <n v="100"/>
    <n v="320"/>
    <n v="47"/>
    <n v="99"/>
    <n v="341"/>
    <n v="72"/>
  </r>
  <r>
    <n v="435"/>
    <x v="0"/>
    <s v="Decaf Espresso"/>
    <s v="Beans"/>
    <s v="Espresso"/>
    <s v="Utah"/>
    <s v="West"/>
    <s v="Decaf"/>
    <n v="50"/>
    <n v="110"/>
    <n v="14"/>
    <n v="47"/>
    <n v="123"/>
    <n v="26"/>
  </r>
  <r>
    <n v="206"/>
    <x v="0"/>
    <s v="Decaf Espresso"/>
    <s v="Beans"/>
    <s v="Espresso"/>
    <s v="Washington"/>
    <s v="West"/>
    <s v="Decaf"/>
    <n v="60"/>
    <n v="140"/>
    <n v="21"/>
    <n v="39"/>
    <n v="150"/>
    <n v="42"/>
  </r>
  <r>
    <n v="319"/>
    <x v="0"/>
    <s v="Amaretto"/>
    <s v="Beans"/>
    <s v="Coffee"/>
    <s v="Iowa"/>
    <s v="Central"/>
    <s v="Regular"/>
    <n v="20"/>
    <n v="40"/>
    <n v="5"/>
    <n v="11"/>
    <n v="45"/>
    <n v="16"/>
  </r>
  <r>
    <n v="262"/>
    <x v="0"/>
    <s v="Amaretto"/>
    <s v="Beans"/>
    <s v="Coffee"/>
    <s v="Wisconsin"/>
    <s v="Central"/>
    <s v="Regular"/>
    <n v="30"/>
    <n v="120"/>
    <n v="20"/>
    <n v="13"/>
    <n v="120"/>
    <n v="53"/>
  </r>
  <r>
    <n v="641"/>
    <x v="0"/>
    <s v="Colombian"/>
    <s v="Beans"/>
    <s v="Coffee"/>
    <s v="Iowa"/>
    <s v="Central"/>
    <s v="Regular"/>
    <n v="20"/>
    <n v="60"/>
    <n v="8"/>
    <n v="5"/>
    <n v="62"/>
    <n v="29"/>
  </r>
  <r>
    <n v="636"/>
    <x v="0"/>
    <s v="Colombian"/>
    <s v="Beans"/>
    <s v="Coffee"/>
    <s v="Missouri"/>
    <s v="Central"/>
    <s v="Regular"/>
    <n v="40"/>
    <n v="190"/>
    <n v="32"/>
    <n v="39"/>
    <n v="190"/>
    <n v="66"/>
  </r>
  <r>
    <n v="262"/>
    <x v="0"/>
    <s v="Colombian"/>
    <s v="Beans"/>
    <s v="Coffee"/>
    <s v="Wisconsin"/>
    <s v="Central"/>
    <s v="Regular"/>
    <n v="20"/>
    <n v="190"/>
    <n v="72"/>
    <n v="9"/>
    <n v="190"/>
    <n v="102"/>
  </r>
  <r>
    <n v="603"/>
    <x v="0"/>
    <s v="Amaretto"/>
    <s v="Beans"/>
    <s v="Coffee"/>
    <s v="New Hampshire"/>
    <s v="East"/>
    <s v="Regular"/>
    <n v="30"/>
    <n v="80"/>
    <n v="12"/>
    <n v="20"/>
    <n v="93"/>
    <n v="35"/>
  </r>
  <r>
    <n v="475"/>
    <x v="0"/>
    <s v="Colombian"/>
    <s v="Beans"/>
    <s v="Coffee"/>
    <s v="Connecticut"/>
    <s v="East"/>
    <s v="Regular"/>
    <n v="130"/>
    <n v="290"/>
    <n v="40"/>
    <n v="115"/>
    <n v="310"/>
    <n v="71"/>
  </r>
  <r>
    <n v="603"/>
    <x v="0"/>
    <s v="Colombian"/>
    <s v="Beans"/>
    <s v="Coffee"/>
    <s v="New Hampshire"/>
    <s v="East"/>
    <s v="Regular"/>
    <n v="40"/>
    <n v="110"/>
    <n v="15"/>
    <n v="25"/>
    <n v="120"/>
    <n v="47"/>
  </r>
  <r>
    <n v="225"/>
    <x v="0"/>
    <s v="Colombian"/>
    <s v="Beans"/>
    <s v="Coffee"/>
    <s v="Louisiana"/>
    <s v="South"/>
    <s v="Regular"/>
    <n v="50"/>
    <n v="100"/>
    <n v="9"/>
    <n v="30"/>
    <n v="85"/>
    <n v="21"/>
  </r>
  <r>
    <n v="505"/>
    <x v="0"/>
    <s v="Colombian"/>
    <s v="Beans"/>
    <s v="Coffee"/>
    <s v="New Mexico"/>
    <s v="South"/>
    <s v="Regular"/>
    <n v="50"/>
    <n v="150"/>
    <n v="15"/>
    <n v="26"/>
    <n v="120"/>
    <n v="46"/>
  </r>
  <r>
    <n v="580"/>
    <x v="0"/>
    <s v="Colombian"/>
    <s v="Beans"/>
    <s v="Coffee"/>
    <s v="Oklahoma"/>
    <s v="South"/>
    <s v="Regular"/>
    <n v="50"/>
    <n v="120"/>
    <n v="14"/>
    <n v="29"/>
    <n v="100"/>
    <n v="27"/>
  </r>
  <r>
    <n v="541"/>
    <x v="0"/>
    <s v="Amaretto"/>
    <s v="Beans"/>
    <s v="Coffee"/>
    <s v="Oregon"/>
    <s v="West"/>
    <s v="Regular"/>
    <n v="40"/>
    <n v="180"/>
    <n v="57"/>
    <n v="1"/>
    <n v="150"/>
    <n v="86"/>
  </r>
  <r>
    <n v="801"/>
    <x v="0"/>
    <s v="Amaretto"/>
    <s v="Beans"/>
    <s v="Coffee"/>
    <s v="Utah"/>
    <s v="West"/>
    <s v="Regular"/>
    <n v="80"/>
    <n v="210"/>
    <n v="24"/>
    <n v="47"/>
    <n v="170"/>
    <n v="45"/>
  </r>
  <r>
    <n v="702"/>
    <x v="0"/>
    <s v="Colombian"/>
    <s v="Beans"/>
    <s v="Coffee"/>
    <s v="Nevada"/>
    <s v="West"/>
    <s v="Regular"/>
    <n v="10"/>
    <n v="90"/>
    <n v="12"/>
    <n v="-3"/>
    <n v="76"/>
    <n v="45"/>
  </r>
  <r>
    <n v="503"/>
    <x v="0"/>
    <s v="Colombian"/>
    <s v="Beans"/>
    <s v="Coffee"/>
    <s v="Oregon"/>
    <s v="West"/>
    <s v="Regular"/>
    <n v="60"/>
    <n v="200"/>
    <n v="22"/>
    <n v="28"/>
    <n v="160"/>
    <n v="65"/>
  </r>
  <r>
    <n v="435"/>
    <x v="0"/>
    <s v="Colombian"/>
    <s v="Beans"/>
    <s v="Coffee"/>
    <s v="Utah"/>
    <s v="West"/>
    <s v="Regular"/>
    <n v="70"/>
    <n v="160"/>
    <n v="18"/>
    <n v="30"/>
    <n v="130"/>
    <n v="45"/>
  </r>
  <r>
    <n v="206"/>
    <x v="0"/>
    <s v="Colombian"/>
    <s v="Beans"/>
    <s v="Coffee"/>
    <s v="Washington"/>
    <s v="West"/>
    <s v="Regular"/>
    <n v="70"/>
    <n v="160"/>
    <n v="16"/>
    <n v="38"/>
    <n v="130"/>
    <n v="39"/>
  </r>
  <r>
    <n v="563"/>
    <x v="0"/>
    <s v="Caffe Mocha"/>
    <s v="Beans"/>
    <s v="Espresso"/>
    <s v="Iowa"/>
    <s v="Central"/>
    <s v="Regular"/>
    <n v="30"/>
    <n v="50"/>
    <n v="4"/>
    <n v="11"/>
    <n v="43"/>
    <n v="15"/>
  </r>
  <r>
    <n v="573"/>
    <x v="0"/>
    <s v="Caffe Mocha"/>
    <s v="Beans"/>
    <s v="Espresso"/>
    <s v="Missouri"/>
    <s v="Central"/>
    <s v="Regular"/>
    <n v="70"/>
    <n v="140"/>
    <n v="14"/>
    <n v="48"/>
    <n v="123"/>
    <n v="25"/>
  </r>
  <r>
    <n v="414"/>
    <x v="0"/>
    <s v="Caffe Mocha"/>
    <s v="Beans"/>
    <s v="Espresso"/>
    <s v="Wisconsin"/>
    <s v="Central"/>
    <s v="Regular"/>
    <n v="50"/>
    <n v="170"/>
    <n v="21"/>
    <n v="38"/>
    <n v="150"/>
    <n v="43"/>
  </r>
  <r>
    <n v="860"/>
    <x v="0"/>
    <s v="Caffe Mocha"/>
    <s v="Beans"/>
    <s v="Espresso"/>
    <s v="Connecticut"/>
    <s v="East"/>
    <s v="Regular"/>
    <n v="20"/>
    <n v="170"/>
    <n v="68"/>
    <n v="7"/>
    <n v="180"/>
    <n v="98"/>
  </r>
  <r>
    <n v="603"/>
    <x v="0"/>
    <s v="Caffe Mocha"/>
    <s v="Beans"/>
    <s v="Espresso"/>
    <s v="New Hampshire"/>
    <s v="East"/>
    <s v="Regular"/>
    <n v="0"/>
    <n v="80"/>
    <n v="34"/>
    <n v="-10"/>
    <n v="90"/>
    <n v="63"/>
  </r>
  <r>
    <n v="603"/>
    <x v="0"/>
    <s v="Regular Espresso"/>
    <s v="Beans"/>
    <s v="Espresso"/>
    <s v="New Hampshire"/>
    <s v="East"/>
    <s v="Regular"/>
    <n v="0"/>
    <n v="60"/>
    <n v="11"/>
    <n v="-8"/>
    <n v="65"/>
    <n v="44"/>
  </r>
  <r>
    <n v="504"/>
    <x v="0"/>
    <s v="Caffe Latte"/>
    <s v="Beans"/>
    <s v="Espresso"/>
    <s v="Louisiana"/>
    <s v="South"/>
    <s v="Regular"/>
    <n v="10"/>
    <n v="150"/>
    <n v="68"/>
    <n v="8"/>
    <n v="180"/>
    <n v="97"/>
  </r>
  <r>
    <n v="505"/>
    <x v="0"/>
    <s v="Caffe Latte"/>
    <s v="Beans"/>
    <s v="Espresso"/>
    <s v="New Mexico"/>
    <s v="South"/>
    <s v="Regular"/>
    <n v="0"/>
    <n v="50"/>
    <n v="11"/>
    <n v="-8"/>
    <n v="65"/>
    <n v="44"/>
  </r>
  <r>
    <n v="405"/>
    <x v="0"/>
    <s v="Caffe Latte"/>
    <s v="Beans"/>
    <s v="Espresso"/>
    <s v="Oklahoma"/>
    <s v="South"/>
    <s v="Regular"/>
    <n v="70"/>
    <n v="170"/>
    <n v="26"/>
    <n v="66"/>
    <n v="200"/>
    <n v="50"/>
  </r>
  <r>
    <n v="337"/>
    <x v="0"/>
    <s v="Caffe Mocha"/>
    <s v="Beans"/>
    <s v="Espresso"/>
    <s v="Louisiana"/>
    <s v="South"/>
    <s v="Regular"/>
    <n v="80"/>
    <n v="150"/>
    <n v="20"/>
    <n v="70"/>
    <n v="180"/>
    <n v="43"/>
  </r>
  <r>
    <n v="505"/>
    <x v="0"/>
    <s v="Caffe Mocha"/>
    <s v="Beans"/>
    <s v="Espresso"/>
    <s v="New Mexico"/>
    <s v="South"/>
    <s v="Regular"/>
    <n v="-10"/>
    <n v="70"/>
    <n v="34"/>
    <n v="-10"/>
    <n v="90"/>
    <n v="63"/>
  </r>
  <r>
    <n v="405"/>
    <x v="0"/>
    <s v="Caffe Mocha"/>
    <s v="Beans"/>
    <s v="Espresso"/>
    <s v="Oklahoma"/>
    <s v="South"/>
    <s v="Regular"/>
    <n v="40"/>
    <n v="60"/>
    <n v="8"/>
    <n v="28"/>
    <n v="80"/>
    <n v="20"/>
  </r>
  <r>
    <n v="775"/>
    <x v="0"/>
    <s v="Caffe Latte"/>
    <s v="Beans"/>
    <s v="Espresso"/>
    <s v="Nevada"/>
    <s v="West"/>
    <s v="Regular"/>
    <n v="20"/>
    <n v="40"/>
    <n v="4"/>
    <n v="11"/>
    <n v="43"/>
    <n v="15"/>
  </r>
  <r>
    <n v="503"/>
    <x v="0"/>
    <s v="Caffe Latte"/>
    <s v="Beans"/>
    <s v="Espresso"/>
    <s v="Oregon"/>
    <s v="West"/>
    <s v="Regular"/>
    <n v="20"/>
    <n v="120"/>
    <n v="22"/>
    <n v="16"/>
    <n v="130"/>
    <n v="56"/>
  </r>
  <r>
    <n v="435"/>
    <x v="0"/>
    <s v="Caffe Latte"/>
    <s v="Beans"/>
    <s v="Espresso"/>
    <s v="Utah"/>
    <s v="West"/>
    <s v="Regular"/>
    <n v="40"/>
    <n v="100"/>
    <n v="12"/>
    <n v="44"/>
    <n v="114"/>
    <n v="24"/>
  </r>
  <r>
    <n v="425"/>
    <x v="0"/>
    <s v="Caffe Latte"/>
    <s v="Beans"/>
    <s v="Espresso"/>
    <s v="Washington"/>
    <s v="West"/>
    <s v="Regular"/>
    <n v="40"/>
    <n v="100"/>
    <n v="15"/>
    <n v="35"/>
    <n v="110"/>
    <n v="27"/>
  </r>
  <r>
    <n v="702"/>
    <x v="0"/>
    <s v="Caffe Mocha"/>
    <s v="Beans"/>
    <s v="Espresso"/>
    <s v="Nevada"/>
    <s v="West"/>
    <s v="Regular"/>
    <n v="20"/>
    <n v="40"/>
    <n v="5"/>
    <n v="10"/>
    <n v="45"/>
    <n v="17"/>
  </r>
  <r>
    <n v="503"/>
    <x v="0"/>
    <s v="Caffe Mocha"/>
    <s v="Beans"/>
    <s v="Espresso"/>
    <s v="Oregon"/>
    <s v="West"/>
    <s v="Regular"/>
    <n v="50"/>
    <n v="130"/>
    <n v="19"/>
    <n v="33"/>
    <n v="140"/>
    <n v="47"/>
  </r>
  <r>
    <n v="435"/>
    <x v="0"/>
    <s v="Caffe Mocha"/>
    <s v="Beans"/>
    <s v="Espresso"/>
    <s v="Utah"/>
    <s v="West"/>
    <s v="Regular"/>
    <n v="40"/>
    <n v="100"/>
    <n v="16"/>
    <n v="34"/>
    <n v="112"/>
    <n v="29"/>
  </r>
  <r>
    <n v="253"/>
    <x v="0"/>
    <s v="Caffe Mocha"/>
    <s v="Beans"/>
    <s v="Espresso"/>
    <s v="Washington"/>
    <s v="West"/>
    <s v="Regular"/>
    <n v="20"/>
    <n v="110"/>
    <n v="20"/>
    <n v="13"/>
    <n v="120"/>
    <n v="53"/>
  </r>
  <r>
    <n v="970"/>
    <x v="0"/>
    <s v="Chamomile"/>
    <s v="Leaves"/>
    <s v="Herbal Tea"/>
    <s v="Colorado"/>
    <s v="Central"/>
    <s v="Decaf"/>
    <n v="110"/>
    <n v="300"/>
    <n v="47"/>
    <n v="99"/>
    <n v="341"/>
    <n v="72"/>
  </r>
  <r>
    <n v="312"/>
    <x v="0"/>
    <s v="Chamomile"/>
    <s v="Leaves"/>
    <s v="Herbal Tea"/>
    <s v="Illinois"/>
    <s v="Central"/>
    <s v="Decaf"/>
    <n v="100"/>
    <n v="190"/>
    <n v="24"/>
    <n v="95"/>
    <n v="219"/>
    <n v="35"/>
  </r>
  <r>
    <n v="937"/>
    <x v="0"/>
    <s v="Chamomile"/>
    <s v="Leaves"/>
    <s v="Herbal Tea"/>
    <s v="Ohio"/>
    <s v="Central"/>
    <s v="Decaf"/>
    <n v="50"/>
    <n v="70"/>
    <n v="8"/>
    <n v="29"/>
    <n v="80"/>
    <n v="19"/>
  </r>
  <r>
    <n v="719"/>
    <x v="0"/>
    <s v="Lemon"/>
    <s v="Leaves"/>
    <s v="Herbal Tea"/>
    <s v="Colorado"/>
    <s v="Central"/>
    <s v="Decaf"/>
    <n v="20"/>
    <n v="130"/>
    <n v="57"/>
    <n v="0"/>
    <n v="150"/>
    <n v="87"/>
  </r>
  <r>
    <n v="630"/>
    <x v="0"/>
    <s v="Lemon"/>
    <s v="Leaves"/>
    <s v="Herbal Tea"/>
    <s v="Illinois"/>
    <s v="Central"/>
    <s v="Decaf"/>
    <n v="60"/>
    <n v="160"/>
    <n v="27"/>
    <n v="68"/>
    <n v="190"/>
    <n v="39"/>
  </r>
  <r>
    <n v="740"/>
    <x v="0"/>
    <s v="Lemon"/>
    <s v="Leaves"/>
    <s v="Herbal Tea"/>
    <s v="Ohio"/>
    <s v="Central"/>
    <s v="Decaf"/>
    <n v="50"/>
    <n v="70"/>
    <n v="8"/>
    <n v="29"/>
    <n v="80"/>
    <n v="19"/>
  </r>
  <r>
    <n v="970"/>
    <x v="0"/>
    <s v="Mint"/>
    <s v="Leaves"/>
    <s v="Herbal Tea"/>
    <s v="Colorado"/>
    <s v="Central"/>
    <s v="Decaf"/>
    <n v="40"/>
    <n v="120"/>
    <n v="19"/>
    <n v="33"/>
    <n v="140"/>
    <n v="47"/>
  </r>
  <r>
    <n v="773"/>
    <x v="0"/>
    <s v="Mint"/>
    <s v="Leaves"/>
    <s v="Herbal Tea"/>
    <s v="Illinois"/>
    <s v="Central"/>
    <s v="Decaf"/>
    <n v="100"/>
    <n v="200"/>
    <n v="26"/>
    <n v="101"/>
    <n v="234"/>
    <n v="38"/>
  </r>
  <r>
    <n v="863"/>
    <x v="0"/>
    <s v="Chamomile"/>
    <s v="Leaves"/>
    <s v="Herbal Tea"/>
    <s v="Florida"/>
    <s v="East"/>
    <s v="Decaf"/>
    <n v="30"/>
    <n v="80"/>
    <n v="15"/>
    <n v="34"/>
    <n v="110"/>
    <n v="28"/>
  </r>
  <r>
    <n v="239"/>
    <x v="0"/>
    <s v="Lemon"/>
    <s v="Leaves"/>
    <s v="Herbal Tea"/>
    <s v="Florida"/>
    <s v="East"/>
    <s v="Decaf"/>
    <n v="20"/>
    <n v="90"/>
    <n v="20"/>
    <n v="13"/>
    <n v="120"/>
    <n v="53"/>
  </r>
  <r>
    <n v="339"/>
    <x v="0"/>
    <s v="Lemon"/>
    <s v="Leaves"/>
    <s v="Herbal Tea"/>
    <s v="Massachusetts"/>
    <s v="East"/>
    <s v="Decaf"/>
    <n v="30"/>
    <n v="100"/>
    <n v="22"/>
    <n v="17"/>
    <n v="130"/>
    <n v="55"/>
  </r>
  <r>
    <n v="607"/>
    <x v="0"/>
    <s v="Lemon"/>
    <s v="Leaves"/>
    <s v="Herbal Tea"/>
    <s v="New York"/>
    <s v="East"/>
    <s v="Decaf"/>
    <n v="100"/>
    <n v="370"/>
    <n v="93"/>
    <n v="111"/>
    <n v="483"/>
    <n v="127"/>
  </r>
  <r>
    <n v="772"/>
    <x v="0"/>
    <s v="Mint"/>
    <s v="Leaves"/>
    <s v="Herbal Tea"/>
    <s v="Florida"/>
    <s v="East"/>
    <s v="Decaf"/>
    <n v="40"/>
    <n v="110"/>
    <n v="21"/>
    <n v="39"/>
    <n v="150"/>
    <n v="42"/>
  </r>
  <r>
    <n v="845"/>
    <x v="0"/>
    <s v="Mint"/>
    <s v="Leaves"/>
    <s v="Herbal Tea"/>
    <s v="New York"/>
    <s v="East"/>
    <s v="Decaf"/>
    <n v="-70"/>
    <n v="140"/>
    <n v="64"/>
    <n v="-113"/>
    <n v="180"/>
    <n v="86"/>
  </r>
  <r>
    <n v="281"/>
    <x v="0"/>
    <s v="Chamomile"/>
    <s v="Leaves"/>
    <s v="Herbal Tea"/>
    <s v="Texas"/>
    <s v="South"/>
    <s v="Decaf"/>
    <n v="50"/>
    <n v="130"/>
    <n v="19"/>
    <n v="33"/>
    <n v="140"/>
    <n v="47"/>
  </r>
  <r>
    <n v="254"/>
    <x v="0"/>
    <s v="Lemon"/>
    <s v="Leaves"/>
    <s v="Herbal Tea"/>
    <s v="Texas"/>
    <s v="South"/>
    <s v="Decaf"/>
    <n v="50"/>
    <n v="130"/>
    <n v="18"/>
    <n v="42"/>
    <n v="140"/>
    <n v="41"/>
  </r>
  <r>
    <n v="510"/>
    <x v="0"/>
    <s v="Chamomile"/>
    <s v="Leaves"/>
    <s v="Herbal Tea"/>
    <s v="California"/>
    <s v="West"/>
    <s v="Decaf"/>
    <n v="100"/>
    <n v="200"/>
    <n v="26"/>
    <n v="102"/>
    <n v="234"/>
    <n v="37"/>
  </r>
  <r>
    <n v="310"/>
    <x v="0"/>
    <s v="Lemon"/>
    <s v="Leaves"/>
    <s v="Herbal Tea"/>
    <s v="California"/>
    <s v="West"/>
    <s v="Decaf"/>
    <n v="160"/>
    <n v="390"/>
    <n v="64"/>
    <n v="160"/>
    <n v="452"/>
    <n v="85"/>
  </r>
  <r>
    <n v="707"/>
    <x v="0"/>
    <s v="Mint"/>
    <s v="Leaves"/>
    <s v="Herbal Tea"/>
    <s v="California"/>
    <s v="West"/>
    <s v="Decaf"/>
    <n v="60"/>
    <n v="160"/>
    <n v="27"/>
    <n v="67"/>
    <n v="190"/>
    <n v="40"/>
  </r>
  <r>
    <n v="719"/>
    <x v="0"/>
    <s v="Darjeeling"/>
    <s v="Leaves"/>
    <s v="Tea"/>
    <s v="Colorado"/>
    <s v="Central"/>
    <s v="Regular"/>
    <n v="20"/>
    <n v="110"/>
    <n v="22"/>
    <n v="17"/>
    <n v="130"/>
    <n v="55"/>
  </r>
  <r>
    <n v="217"/>
    <x v="0"/>
    <s v="Darjeeling"/>
    <s v="Leaves"/>
    <s v="Tea"/>
    <s v="Illinois"/>
    <s v="Central"/>
    <s v="Regular"/>
    <n v="50"/>
    <n v="110"/>
    <n v="15"/>
    <n v="53"/>
    <n v="134"/>
    <n v="27"/>
  </r>
  <r>
    <n v="567"/>
    <x v="0"/>
    <s v="Darjeeling"/>
    <s v="Leaves"/>
    <s v="Tea"/>
    <s v="Ohio"/>
    <s v="Central"/>
    <s v="Regular"/>
    <n v="60"/>
    <n v="180"/>
    <n v="27"/>
    <n v="68"/>
    <n v="210"/>
    <n v="58"/>
  </r>
  <r>
    <n v="303"/>
    <x v="0"/>
    <s v="Earl Grey"/>
    <s v="Leaves"/>
    <s v="Tea"/>
    <s v="Colorado"/>
    <s v="Central"/>
    <s v="Regular"/>
    <n v="40"/>
    <n v="120"/>
    <n v="19"/>
    <n v="36"/>
    <n v="140"/>
    <n v="40"/>
  </r>
  <r>
    <n v="708"/>
    <x v="0"/>
    <s v="Earl Grey"/>
    <s v="Leaves"/>
    <s v="Tea"/>
    <s v="Illinois"/>
    <s v="Central"/>
    <s v="Regular"/>
    <n v="40"/>
    <n v="150"/>
    <n v="23"/>
    <n v="54"/>
    <n v="180"/>
    <n v="54"/>
  </r>
  <r>
    <n v="216"/>
    <x v="0"/>
    <s v="Earl Grey"/>
    <s v="Leaves"/>
    <s v="Tea"/>
    <s v="Ohio"/>
    <s v="Central"/>
    <s v="Regular"/>
    <n v="60"/>
    <n v="170"/>
    <n v="26"/>
    <n v="67"/>
    <n v="200"/>
    <n v="49"/>
  </r>
  <r>
    <n v="303"/>
    <x v="0"/>
    <s v="Green Tea"/>
    <s v="Leaves"/>
    <s v="Tea"/>
    <s v="Colorado"/>
    <s v="Central"/>
    <s v="Regular"/>
    <n v="30"/>
    <n v="80"/>
    <n v="14"/>
    <n v="30"/>
    <n v="100"/>
    <n v="26"/>
  </r>
  <r>
    <n v="954"/>
    <x v="0"/>
    <s v="Darjeeling"/>
    <s v="Leaves"/>
    <s v="Tea"/>
    <s v="Florida"/>
    <s v="East"/>
    <s v="Regular"/>
    <n v="40"/>
    <n v="80"/>
    <n v="8"/>
    <n v="28"/>
    <n v="80"/>
    <n v="20"/>
  </r>
  <r>
    <n v="508"/>
    <x v="0"/>
    <s v="Darjeeling"/>
    <s v="Leaves"/>
    <s v="Tea"/>
    <s v="Massachusetts"/>
    <s v="East"/>
    <s v="Regular"/>
    <n v="40"/>
    <n v="80"/>
    <n v="8"/>
    <n v="29"/>
    <n v="80"/>
    <n v="19"/>
  </r>
  <r>
    <n v="347"/>
    <x v="0"/>
    <s v="Darjeeling"/>
    <s v="Leaves"/>
    <s v="Tea"/>
    <s v="New York"/>
    <s v="East"/>
    <s v="Regular"/>
    <n v="120"/>
    <n v="250"/>
    <n v="26"/>
    <n v="101"/>
    <n v="234"/>
    <n v="38"/>
  </r>
  <r>
    <n v="646"/>
    <x v="0"/>
    <s v="Earl Grey"/>
    <s v="Leaves"/>
    <s v="Tea"/>
    <s v="New York"/>
    <s v="East"/>
    <s v="Regular"/>
    <n v="110"/>
    <n v="230"/>
    <n v="24"/>
    <n v="94"/>
    <n v="219"/>
    <n v="36"/>
  </r>
  <r>
    <n v="754"/>
    <x v="0"/>
    <s v="Green Tea"/>
    <s v="Leaves"/>
    <s v="Tea"/>
    <s v="Florida"/>
    <s v="East"/>
    <s v="Regular"/>
    <n v="40"/>
    <n v="80"/>
    <n v="9"/>
    <n v="28"/>
    <n v="81"/>
    <n v="20"/>
  </r>
  <r>
    <n v="781"/>
    <x v="0"/>
    <s v="Green Tea"/>
    <s v="Leaves"/>
    <s v="Tea"/>
    <s v="Massachusetts"/>
    <s v="East"/>
    <s v="Regular"/>
    <n v="40"/>
    <n v="80"/>
    <n v="8"/>
    <n v="29"/>
    <n v="80"/>
    <n v="19"/>
  </r>
  <r>
    <n v="347"/>
    <x v="0"/>
    <s v="Green Tea"/>
    <s v="Leaves"/>
    <s v="Tea"/>
    <s v="New York"/>
    <s v="East"/>
    <s v="Regular"/>
    <n v="70"/>
    <n v="140"/>
    <n v="15"/>
    <n v="54"/>
    <n v="134"/>
    <n v="26"/>
  </r>
  <r>
    <n v="619"/>
    <x v="0"/>
    <s v="Darjeeling"/>
    <s v="Leaves"/>
    <s v="Tea"/>
    <s v="California"/>
    <s v="West"/>
    <s v="Regular"/>
    <n v="80"/>
    <n v="140"/>
    <n v="24"/>
    <n v="94"/>
    <n v="219"/>
    <n v="36"/>
  </r>
  <r>
    <n v="650"/>
    <x v="0"/>
    <s v="Earl Grey"/>
    <s v="Leaves"/>
    <s v="Tea"/>
    <s v="California"/>
    <s v="West"/>
    <s v="Regular"/>
    <n v="60"/>
    <n v="90"/>
    <n v="15"/>
    <n v="54"/>
    <n v="134"/>
    <n v="26"/>
  </r>
  <r>
    <n v="760"/>
    <x v="0"/>
    <s v="Green Tea"/>
    <s v="Leaves"/>
    <s v="Tea"/>
    <s v="California"/>
    <s v="West"/>
    <s v="Regular"/>
    <n v="50"/>
    <n v="120"/>
    <n v="23"/>
    <n v="54"/>
    <n v="180"/>
    <n v="54"/>
  </r>
  <r>
    <n v="641"/>
    <x v="0"/>
    <s v="Chamomile"/>
    <s v="Leaves"/>
    <s v="Herbal Tea"/>
    <s v="Iowa"/>
    <s v="Central"/>
    <s v="Decaf"/>
    <n v="200"/>
    <n v="480"/>
    <n v="77"/>
    <n v="202"/>
    <n v="546"/>
    <n v="110"/>
  </r>
  <r>
    <n v="573"/>
    <x v="0"/>
    <s v="Chamomile"/>
    <s v="Leaves"/>
    <s v="Herbal Tea"/>
    <s v="Missouri"/>
    <s v="Central"/>
    <s v="Decaf"/>
    <n v="0"/>
    <n v="70"/>
    <n v="34"/>
    <n v="-11"/>
    <n v="90"/>
    <n v="64"/>
  </r>
  <r>
    <n v="715"/>
    <x v="0"/>
    <s v="Chamomile"/>
    <s v="Leaves"/>
    <s v="Herbal Tea"/>
    <s v="Wisconsin"/>
    <s v="Central"/>
    <s v="Decaf"/>
    <n v="80"/>
    <n v="150"/>
    <n v="20"/>
    <n v="70"/>
    <n v="180"/>
    <n v="43"/>
  </r>
  <r>
    <n v="563"/>
    <x v="0"/>
    <s v="Lemon"/>
    <s v="Leaves"/>
    <s v="Herbal Tea"/>
    <s v="Iowa"/>
    <s v="Central"/>
    <s v="Decaf"/>
    <n v="90"/>
    <n v="200"/>
    <n v="30"/>
    <n v="86"/>
    <n v="234"/>
    <n v="53"/>
  </r>
  <r>
    <n v="314"/>
    <x v="0"/>
    <s v="Lemon"/>
    <s v="Leaves"/>
    <s v="Herbal Tea"/>
    <s v="Missouri"/>
    <s v="Central"/>
    <s v="Decaf"/>
    <n v="-20"/>
    <n v="80"/>
    <n v="27"/>
    <n v="-39"/>
    <n v="99"/>
    <n v="50"/>
  </r>
  <r>
    <n v="715"/>
    <x v="0"/>
    <s v="Lemon"/>
    <s v="Leaves"/>
    <s v="Herbal Tea"/>
    <s v="Wisconsin"/>
    <s v="Central"/>
    <s v="Decaf"/>
    <n v="50"/>
    <n v="70"/>
    <n v="9"/>
    <n v="28"/>
    <n v="81"/>
    <n v="20"/>
  </r>
  <r>
    <n v="860"/>
    <x v="0"/>
    <s v="Lemon"/>
    <s v="Leaves"/>
    <s v="Herbal Tea"/>
    <s v="Connecticut"/>
    <s v="East"/>
    <s v="Decaf"/>
    <n v="40"/>
    <n v="140"/>
    <n v="32"/>
    <n v="40"/>
    <n v="190"/>
    <n v="65"/>
  </r>
  <r>
    <n v="603"/>
    <x v="0"/>
    <s v="Lemon"/>
    <s v="Leaves"/>
    <s v="Herbal Tea"/>
    <s v="New Hampshire"/>
    <s v="East"/>
    <s v="Decaf"/>
    <n v="0"/>
    <n v="50"/>
    <n v="12"/>
    <n v="-4"/>
    <n v="76"/>
    <n v="46"/>
  </r>
  <r>
    <n v="475"/>
    <x v="0"/>
    <s v="Mint"/>
    <s v="Leaves"/>
    <s v="Herbal Tea"/>
    <s v="Connecticut"/>
    <s v="East"/>
    <s v="Decaf"/>
    <n v="50"/>
    <n v="130"/>
    <n v="24"/>
    <n v="47"/>
    <n v="170"/>
    <n v="45"/>
  </r>
  <r>
    <n v="337"/>
    <x v="0"/>
    <s v="Chamomile"/>
    <s v="Leaves"/>
    <s v="Herbal Tea"/>
    <s v="Louisiana"/>
    <s v="South"/>
    <s v="Decaf"/>
    <n v="40"/>
    <n v="100"/>
    <n v="16"/>
    <n v="35"/>
    <n v="112"/>
    <n v="28"/>
  </r>
  <r>
    <n v="505"/>
    <x v="0"/>
    <s v="Chamomile"/>
    <s v="Leaves"/>
    <s v="Herbal Tea"/>
    <s v="New Mexico"/>
    <s v="South"/>
    <s v="Decaf"/>
    <n v="20"/>
    <n v="40"/>
    <n v="5"/>
    <n v="11"/>
    <n v="45"/>
    <n v="16"/>
  </r>
  <r>
    <n v="918"/>
    <x v="0"/>
    <s v="Chamomile"/>
    <s v="Leaves"/>
    <s v="Herbal Tea"/>
    <s v="Oklahoma"/>
    <s v="South"/>
    <s v="Decaf"/>
    <n v="20"/>
    <n v="110"/>
    <n v="20"/>
    <n v="13"/>
    <n v="120"/>
    <n v="53"/>
  </r>
  <r>
    <n v="504"/>
    <x v="0"/>
    <s v="Lemon"/>
    <s v="Leaves"/>
    <s v="Herbal Tea"/>
    <s v="Louisiana"/>
    <s v="South"/>
    <s v="Decaf"/>
    <n v="40"/>
    <n v="180"/>
    <n v="32"/>
    <n v="40"/>
    <n v="190"/>
    <n v="65"/>
  </r>
  <r>
    <n v="505"/>
    <x v="0"/>
    <s v="Lemon"/>
    <s v="Leaves"/>
    <s v="Herbal Tea"/>
    <s v="New Mexico"/>
    <s v="South"/>
    <s v="Decaf"/>
    <n v="20"/>
    <n v="60"/>
    <n v="8"/>
    <n v="4"/>
    <n v="62"/>
    <n v="30"/>
  </r>
  <r>
    <n v="580"/>
    <x v="0"/>
    <s v="Lemon"/>
    <s v="Leaves"/>
    <s v="Herbal Tea"/>
    <s v="Oklahoma"/>
    <s v="South"/>
    <s v="Decaf"/>
    <n v="30"/>
    <n v="180"/>
    <n v="72"/>
    <n v="10"/>
    <n v="190"/>
    <n v="101"/>
  </r>
  <r>
    <n v="702"/>
    <x v="0"/>
    <s v="Chamomile"/>
    <s v="Leaves"/>
    <s v="Herbal Tea"/>
    <s v="Nevada"/>
    <s v="West"/>
    <s v="Decaf"/>
    <n v="30"/>
    <n v="220"/>
    <n v="95"/>
    <n v="16"/>
    <n v="250"/>
    <n v="129"/>
  </r>
  <r>
    <n v="971"/>
    <x v="0"/>
    <s v="Chamomile"/>
    <s v="Leaves"/>
    <s v="Herbal Tea"/>
    <s v="Oregon"/>
    <s v="West"/>
    <s v="Decaf"/>
    <n v="40"/>
    <n v="70"/>
    <n v="10"/>
    <n v="33"/>
    <n v="90"/>
    <n v="21"/>
  </r>
  <r>
    <n v="801"/>
    <x v="0"/>
    <s v="Chamomile"/>
    <s v="Leaves"/>
    <s v="Herbal Tea"/>
    <s v="Utah"/>
    <s v="West"/>
    <s v="Decaf"/>
    <n v="30"/>
    <n v="80"/>
    <n v="12"/>
    <n v="21"/>
    <n v="93"/>
    <n v="34"/>
  </r>
  <r>
    <n v="206"/>
    <x v="0"/>
    <s v="Chamomile"/>
    <s v="Leaves"/>
    <s v="Herbal Tea"/>
    <s v="Washington"/>
    <s v="West"/>
    <s v="Decaf"/>
    <n v="120"/>
    <n v="270"/>
    <n v="40"/>
    <n v="115"/>
    <n v="310"/>
    <n v="71"/>
  </r>
  <r>
    <n v="775"/>
    <x v="0"/>
    <s v="Lemon"/>
    <s v="Leaves"/>
    <s v="Herbal Tea"/>
    <s v="Nevada"/>
    <s v="West"/>
    <s v="Decaf"/>
    <n v="120"/>
    <n v="300"/>
    <n v="47"/>
    <n v="111"/>
    <n v="345"/>
    <n v="90"/>
  </r>
  <r>
    <n v="503"/>
    <x v="0"/>
    <s v="Lemon"/>
    <s v="Leaves"/>
    <s v="Herbal Tea"/>
    <s v="Oregon"/>
    <s v="West"/>
    <s v="Decaf"/>
    <n v="30"/>
    <n v="80"/>
    <n v="14"/>
    <n v="29"/>
    <n v="100"/>
    <n v="27"/>
  </r>
  <r>
    <n v="435"/>
    <x v="0"/>
    <s v="Lemon"/>
    <s v="Leaves"/>
    <s v="Herbal Tea"/>
    <s v="Utah"/>
    <s v="West"/>
    <s v="Decaf"/>
    <n v="30"/>
    <n v="100"/>
    <n v="15"/>
    <n v="25"/>
    <n v="120"/>
    <n v="47"/>
  </r>
  <r>
    <n v="360"/>
    <x v="0"/>
    <s v="Lemon"/>
    <s v="Leaves"/>
    <s v="Herbal Tea"/>
    <s v="Washington"/>
    <s v="West"/>
    <s v="Decaf"/>
    <n v="50"/>
    <n v="70"/>
    <n v="9"/>
    <n v="30"/>
    <n v="85"/>
    <n v="21"/>
  </r>
  <r>
    <n v="702"/>
    <x v="0"/>
    <s v="Mint"/>
    <s v="Leaves"/>
    <s v="Herbal Tea"/>
    <s v="Nevada"/>
    <s v="West"/>
    <s v="Decaf"/>
    <n v="90"/>
    <n v="200"/>
    <n v="30"/>
    <n v="86"/>
    <n v="234"/>
    <n v="53"/>
  </r>
  <r>
    <n v="435"/>
    <x v="0"/>
    <s v="Mint"/>
    <s v="Leaves"/>
    <s v="Herbal Tea"/>
    <s v="Utah"/>
    <s v="West"/>
    <s v="Decaf"/>
    <n v="-30"/>
    <n v="80"/>
    <n v="27"/>
    <n v="-40"/>
    <n v="99"/>
    <n v="51"/>
  </r>
  <r>
    <n v="712"/>
    <x v="0"/>
    <s v="Darjeeling"/>
    <s v="Leaves"/>
    <s v="Tea"/>
    <s v="Iowa"/>
    <s v="Central"/>
    <s v="Regular"/>
    <n v="140"/>
    <n v="400"/>
    <n v="63"/>
    <n v="141"/>
    <n v="456"/>
    <n v="87"/>
  </r>
  <r>
    <n v="314"/>
    <x v="0"/>
    <s v="Darjeeling"/>
    <s v="Leaves"/>
    <s v="Tea"/>
    <s v="Missouri"/>
    <s v="Central"/>
    <s v="Regular"/>
    <n v="10"/>
    <n v="70"/>
    <n v="11"/>
    <n v="9"/>
    <n v="82"/>
    <n v="38"/>
  </r>
  <r>
    <n v="608"/>
    <x v="0"/>
    <s v="Darjeeling"/>
    <s v="Leaves"/>
    <s v="Tea"/>
    <s v="Wisconsin"/>
    <s v="Central"/>
    <s v="Regular"/>
    <n v="50"/>
    <n v="130"/>
    <n v="19"/>
    <n v="47"/>
    <n v="150"/>
    <n v="42"/>
  </r>
  <r>
    <n v="319"/>
    <x v="0"/>
    <s v="Earl Grey"/>
    <s v="Leaves"/>
    <s v="Tea"/>
    <s v="Iowa"/>
    <s v="Central"/>
    <s v="Regular"/>
    <n v="160"/>
    <n v="480"/>
    <n v="93"/>
    <n v="175"/>
    <n v="546"/>
    <n v="126"/>
  </r>
  <r>
    <n v="573"/>
    <x v="0"/>
    <s v="Earl Grey"/>
    <s v="Leaves"/>
    <s v="Tea"/>
    <s v="Missouri"/>
    <s v="Central"/>
    <s v="Regular"/>
    <n v="-10"/>
    <n v="50"/>
    <n v="11"/>
    <n v="-9"/>
    <n v="65"/>
    <n v="45"/>
  </r>
  <r>
    <n v="262"/>
    <x v="0"/>
    <s v="Earl Grey"/>
    <s v="Leaves"/>
    <s v="Tea"/>
    <s v="Wisconsin"/>
    <s v="Central"/>
    <s v="Regular"/>
    <n v="10"/>
    <n v="150"/>
    <n v="68"/>
    <n v="7"/>
    <n v="180"/>
    <n v="98"/>
  </r>
  <r>
    <n v="417"/>
    <x v="0"/>
    <s v="Green Tea"/>
    <s v="Leaves"/>
    <s v="Tea"/>
    <s v="Missouri"/>
    <s v="Central"/>
    <s v="Regular"/>
    <n v="0"/>
    <n v="60"/>
    <n v="12"/>
    <n v="-4"/>
    <n v="76"/>
    <n v="46"/>
  </r>
  <r>
    <n v="475"/>
    <x v="0"/>
    <s v="Darjeeling"/>
    <s v="Leaves"/>
    <s v="Tea"/>
    <s v="Connecticut"/>
    <s v="East"/>
    <s v="Regular"/>
    <n v="60"/>
    <n v="130"/>
    <n v="14"/>
    <n v="47"/>
    <n v="123"/>
    <n v="26"/>
  </r>
  <r>
    <n v="603"/>
    <x v="0"/>
    <s v="Darjeeling"/>
    <s v="Leaves"/>
    <s v="Tea"/>
    <s v="New Hampshire"/>
    <s v="East"/>
    <s v="Regular"/>
    <n v="20"/>
    <n v="40"/>
    <n v="5"/>
    <n v="10"/>
    <n v="45"/>
    <n v="17"/>
  </r>
  <r>
    <n v="475"/>
    <x v="0"/>
    <s v="Green Tea"/>
    <s v="Leaves"/>
    <s v="Tea"/>
    <s v="Connecticut"/>
    <s v="East"/>
    <s v="Regular"/>
    <n v="40"/>
    <n v="100"/>
    <n v="10"/>
    <n v="35"/>
    <n v="94"/>
    <n v="21"/>
  </r>
  <r>
    <n v="603"/>
    <x v="0"/>
    <s v="Green Tea"/>
    <s v="Leaves"/>
    <s v="Tea"/>
    <s v="New Hampshire"/>
    <s v="East"/>
    <s v="Regular"/>
    <n v="20"/>
    <n v="40"/>
    <n v="4"/>
    <n v="11"/>
    <n v="43"/>
    <n v="15"/>
  </r>
  <r>
    <n v="775"/>
    <x v="0"/>
    <s v="Darjeeling"/>
    <s v="Leaves"/>
    <s v="Tea"/>
    <s v="Nevada"/>
    <s v="West"/>
    <s v="Regular"/>
    <n v="150"/>
    <n v="370"/>
    <n v="77"/>
    <n v="203"/>
    <n v="546"/>
    <n v="109"/>
  </r>
  <r>
    <n v="971"/>
    <x v="0"/>
    <s v="Darjeeling"/>
    <s v="Leaves"/>
    <s v="Tea"/>
    <s v="Oregon"/>
    <s v="West"/>
    <s v="Regular"/>
    <n v="30"/>
    <n v="50"/>
    <n v="8"/>
    <n v="28"/>
    <n v="80"/>
    <n v="20"/>
  </r>
  <r>
    <n v="435"/>
    <x v="0"/>
    <s v="Darjeeling"/>
    <s v="Leaves"/>
    <s v="Tea"/>
    <s v="Utah"/>
    <s v="West"/>
    <s v="Regular"/>
    <n v="0"/>
    <n v="60"/>
    <n v="34"/>
    <n v="-10"/>
    <n v="90"/>
    <n v="63"/>
  </r>
  <r>
    <n v="360"/>
    <x v="0"/>
    <s v="Darjeeling"/>
    <s v="Leaves"/>
    <s v="Tea"/>
    <s v="Washington"/>
    <s v="West"/>
    <s v="Regular"/>
    <n v="50"/>
    <n v="120"/>
    <n v="20"/>
    <n v="70"/>
    <n v="180"/>
    <n v="43"/>
  </r>
  <r>
    <n v="775"/>
    <x v="0"/>
    <s v="Earl Grey"/>
    <s v="Leaves"/>
    <s v="Tea"/>
    <s v="Nevada"/>
    <s v="West"/>
    <s v="Regular"/>
    <n v="100"/>
    <n v="310"/>
    <n v="63"/>
    <n v="141"/>
    <n v="456"/>
    <n v="87"/>
  </r>
  <r>
    <n v="503"/>
    <x v="0"/>
    <s v="Earl Grey"/>
    <s v="Leaves"/>
    <s v="Tea"/>
    <s v="Oregon"/>
    <s v="West"/>
    <s v="Regular"/>
    <n v="60"/>
    <n v="140"/>
    <n v="27"/>
    <n v="68"/>
    <n v="210"/>
    <n v="58"/>
  </r>
  <r>
    <n v="435"/>
    <x v="0"/>
    <s v="Earl Grey"/>
    <s v="Leaves"/>
    <s v="Tea"/>
    <s v="Utah"/>
    <s v="West"/>
    <s v="Regular"/>
    <n v="10"/>
    <n v="50"/>
    <n v="11"/>
    <n v="9"/>
    <n v="82"/>
    <n v="38"/>
  </r>
  <r>
    <n v="253"/>
    <x v="0"/>
    <s v="Earl Grey"/>
    <s v="Leaves"/>
    <s v="Tea"/>
    <s v="Washington"/>
    <s v="West"/>
    <s v="Regular"/>
    <n v="40"/>
    <n v="100"/>
    <n v="19"/>
    <n v="48"/>
    <n v="150"/>
    <n v="41"/>
  </r>
  <r>
    <n v="702"/>
    <x v="0"/>
    <s v="Green Tea"/>
    <s v="Leaves"/>
    <s v="Tea"/>
    <s v="Nevada"/>
    <s v="West"/>
    <s v="Regular"/>
    <n v="-240"/>
    <n v="0"/>
    <n v="93"/>
    <n v="345"/>
    <n v="17"/>
    <n v="126"/>
  </r>
  <r>
    <n v="541"/>
    <x v="0"/>
    <s v="Green Tea"/>
    <s v="Leaves"/>
    <s v="Tea"/>
    <s v="Oregon"/>
    <s v="West"/>
    <s v="Regular"/>
    <n v="50"/>
    <n v="130"/>
    <n v="26"/>
    <n v="67"/>
    <n v="200"/>
    <n v="49"/>
  </r>
  <r>
    <n v="435"/>
    <x v="0"/>
    <s v="Green Tea"/>
    <s v="Leaves"/>
    <s v="Tea"/>
    <s v="Utah"/>
    <s v="West"/>
    <s v="Regular"/>
    <n v="10"/>
    <n v="40"/>
    <n v="11"/>
    <n v="-9"/>
    <n v="65"/>
    <n v="45"/>
  </r>
  <r>
    <n v="360"/>
    <x v="0"/>
    <s v="Green Tea"/>
    <s v="Leaves"/>
    <s v="Tea"/>
    <s v="Washington"/>
    <s v="West"/>
    <s v="Regular"/>
    <n v="20"/>
    <n v="120"/>
    <n v="68"/>
    <n v="8"/>
    <n v="180"/>
    <n v="97"/>
  </r>
  <r>
    <n v="719"/>
    <x v="1"/>
    <s v="Decaf Irish Cream"/>
    <s v="Beans"/>
    <s v="Coffee"/>
    <s v="Colorado"/>
    <s v="Central"/>
    <s v="Decaf"/>
    <n v="110"/>
    <n v="240"/>
    <n v="26"/>
    <n v="99"/>
    <n v="232"/>
    <n v="38"/>
  </r>
  <r>
    <n v="847"/>
    <x v="1"/>
    <s v="Decaf Irish Cream"/>
    <s v="Beans"/>
    <s v="Coffee"/>
    <s v="Illinois"/>
    <s v="Central"/>
    <s v="Decaf"/>
    <n v="100"/>
    <n v="260"/>
    <n v="33"/>
    <n v="95"/>
    <n v="254"/>
    <n v="55"/>
  </r>
  <r>
    <n v="614"/>
    <x v="1"/>
    <s v="Decaf Irish Cream"/>
    <s v="Beans"/>
    <s v="Coffee"/>
    <s v="Ohio"/>
    <s v="Central"/>
    <s v="Decaf"/>
    <n v="20"/>
    <n v="130"/>
    <n v="49"/>
    <n v="-3"/>
    <n v="129"/>
    <n v="78"/>
  </r>
  <r>
    <n v="305"/>
    <x v="1"/>
    <s v="Decaf Irish Cream"/>
    <s v="Beans"/>
    <s v="Coffee"/>
    <s v="Florida"/>
    <s v="East"/>
    <s v="Decaf"/>
    <n v="70"/>
    <n v="190"/>
    <n v="26"/>
    <n v="71"/>
    <n v="206"/>
    <n v="49"/>
  </r>
  <r>
    <n v="432"/>
    <x v="1"/>
    <s v="Decaf Irish Cream"/>
    <s v="Beans"/>
    <s v="Coffee"/>
    <s v="Texas"/>
    <s v="South"/>
    <s v="Decaf"/>
    <n v="100"/>
    <n v="230"/>
    <n v="27"/>
    <n v="68"/>
    <n v="190"/>
    <n v="39"/>
  </r>
  <r>
    <n v="818"/>
    <x v="1"/>
    <s v="Decaf Irish Cream"/>
    <s v="Beans"/>
    <s v="Coffee"/>
    <s v="California"/>
    <s v="West"/>
    <s v="Decaf"/>
    <n v="-110"/>
    <n v="150"/>
    <n v="48"/>
    <n v="-117"/>
    <n v="122"/>
    <n v="91"/>
  </r>
  <r>
    <n v="303"/>
    <x v="1"/>
    <s v="Decaf Espresso"/>
    <s v="Beans"/>
    <s v="Espresso"/>
    <s v="Colorado"/>
    <s v="Central"/>
    <s v="Decaf"/>
    <n v="90"/>
    <n v="220"/>
    <n v="24"/>
    <n v="59"/>
    <n v="189"/>
    <n v="55"/>
  </r>
  <r>
    <n v="312"/>
    <x v="1"/>
    <s v="Decaf Espresso"/>
    <s v="Beans"/>
    <s v="Espresso"/>
    <s v="Illinois"/>
    <s v="Central"/>
    <s v="Decaf"/>
    <n v="180"/>
    <n v="530"/>
    <n v="63"/>
    <n v="142"/>
    <n v="457"/>
    <n v="87"/>
  </r>
  <r>
    <n v="614"/>
    <x v="1"/>
    <s v="Decaf Espresso"/>
    <s v="Beans"/>
    <s v="Espresso"/>
    <s v="Ohio"/>
    <s v="Central"/>
    <s v="Decaf"/>
    <n v="40"/>
    <n v="150"/>
    <n v="22"/>
    <n v="18"/>
    <n v="132"/>
    <n v="55"/>
  </r>
  <r>
    <n v="407"/>
    <x v="1"/>
    <s v="Decaf Espresso"/>
    <s v="Beans"/>
    <s v="Espresso"/>
    <s v="Florida"/>
    <s v="East"/>
    <s v="Decaf"/>
    <n v="60"/>
    <n v="170"/>
    <n v="25"/>
    <n v="51"/>
    <n v="180"/>
    <n v="52"/>
  </r>
  <r>
    <n v="956"/>
    <x v="1"/>
    <s v="Decaf Espresso"/>
    <s v="Beans"/>
    <s v="Espresso"/>
    <s v="Texas"/>
    <s v="South"/>
    <s v="Decaf"/>
    <n v="90"/>
    <n v="160"/>
    <n v="21"/>
    <n v="80"/>
    <n v="189"/>
    <n v="32"/>
  </r>
  <r>
    <n v="951"/>
    <x v="1"/>
    <s v="Decaf Espresso"/>
    <s v="Beans"/>
    <s v="Espresso"/>
    <s v="California"/>
    <s v="West"/>
    <s v="Decaf"/>
    <n v="200"/>
    <n v="520"/>
    <n v="77"/>
    <n v="202"/>
    <n v="545"/>
    <n v="109"/>
  </r>
  <r>
    <n v="303"/>
    <x v="1"/>
    <s v="Amaretto"/>
    <s v="Beans"/>
    <s v="Coffee"/>
    <s v="Colorado"/>
    <s v="Central"/>
    <s v="Regular"/>
    <n v="120"/>
    <n v="250"/>
    <n v="27"/>
    <n v="105"/>
    <n v="243"/>
    <n v="39"/>
  </r>
  <r>
    <n v="937"/>
    <x v="1"/>
    <s v="Amaretto"/>
    <s v="Beans"/>
    <s v="Coffee"/>
    <s v="Ohio"/>
    <s v="Central"/>
    <s v="Regular"/>
    <n v="50"/>
    <n v="140"/>
    <n v="19"/>
    <n v="33"/>
    <n v="140"/>
    <n v="47"/>
  </r>
  <r>
    <n v="720"/>
    <x v="1"/>
    <s v="Colombian"/>
    <s v="Beans"/>
    <s v="Coffee"/>
    <s v="Colorado"/>
    <s v="Central"/>
    <s v="Regular"/>
    <n v="80"/>
    <n v="190"/>
    <n v="27"/>
    <n v="68"/>
    <n v="190"/>
    <n v="39"/>
  </r>
  <r>
    <n v="312"/>
    <x v="1"/>
    <s v="Colombian"/>
    <s v="Beans"/>
    <s v="Coffee"/>
    <s v="Illinois"/>
    <s v="Central"/>
    <s v="Regular"/>
    <n v="140"/>
    <n v="370"/>
    <n v="48"/>
    <n v="115"/>
    <n v="354"/>
    <n v="91"/>
  </r>
  <r>
    <n v="513"/>
    <x v="1"/>
    <s v="Colombian"/>
    <s v="Beans"/>
    <s v="Coffee"/>
    <s v="Ohio"/>
    <s v="Central"/>
    <s v="Regular"/>
    <n v="50"/>
    <n v="130"/>
    <n v="16"/>
    <n v="38"/>
    <n v="128"/>
    <n v="38"/>
  </r>
  <r>
    <n v="754"/>
    <x v="1"/>
    <s v="Colombian"/>
    <s v="Beans"/>
    <s v="Coffee"/>
    <s v="Florida"/>
    <s v="East"/>
    <s v="Regular"/>
    <n v="80"/>
    <n v="190"/>
    <n v="26"/>
    <n v="63"/>
    <n v="200"/>
    <n v="57"/>
  </r>
  <r>
    <n v="774"/>
    <x v="1"/>
    <s v="Colombian"/>
    <s v="Beans"/>
    <s v="Coffee"/>
    <s v="Massachusetts"/>
    <s v="East"/>
    <s v="Regular"/>
    <n v="330"/>
    <n v="440"/>
    <n v="24"/>
    <n v="340"/>
    <n v="470"/>
    <n v="55"/>
  </r>
  <r>
    <n v="917"/>
    <x v="1"/>
    <s v="Colombian"/>
    <s v="Beans"/>
    <s v="Coffee"/>
    <s v="New York"/>
    <s v="East"/>
    <s v="Regular"/>
    <n v="250"/>
    <n v="610"/>
    <n v="90"/>
    <n v="245"/>
    <n v="645"/>
    <n v="142"/>
  </r>
  <r>
    <n v="972"/>
    <x v="1"/>
    <s v="Colombian"/>
    <s v="Beans"/>
    <s v="Coffee"/>
    <s v="Texas"/>
    <s v="South"/>
    <s v="Regular"/>
    <n v="240"/>
    <n v="580"/>
    <n v="66"/>
    <n v="164"/>
    <n v="465"/>
    <n v="88"/>
  </r>
  <r>
    <m/>
    <x v="2"/>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970"/>
    <x v="0"/>
    <x v="0"/>
    <s v="Beans"/>
    <s v="Coffee"/>
    <s v="Colorado"/>
    <s v="Central"/>
    <s v="Decaf"/>
    <n v="110"/>
    <n v="240"/>
    <n v="26"/>
    <n v="101"/>
    <n v="234"/>
    <n v="38"/>
  </r>
  <r>
    <n v="970"/>
    <x v="0"/>
    <x v="0"/>
    <s v="Beans"/>
    <s v="Coffee"/>
    <s v="Colorado"/>
    <s v="Central"/>
    <s v="Decaf"/>
    <n v="110"/>
    <n v="240"/>
    <n v="26"/>
    <n v="101"/>
    <n v="234"/>
    <n v="38"/>
  </r>
  <r>
    <n v="309"/>
    <x v="0"/>
    <x v="0"/>
    <s v="Beans"/>
    <s v="Coffee"/>
    <s v="Illinois"/>
    <s v="Central"/>
    <s v="Decaf"/>
    <n v="100"/>
    <n v="240"/>
    <n v="30"/>
    <n v="87"/>
    <n v="234"/>
    <n v="52"/>
  </r>
  <r>
    <n v="614"/>
    <x v="0"/>
    <x v="0"/>
    <s v="Beans"/>
    <s v="Coffee"/>
    <s v="Ohio"/>
    <s v="Central"/>
    <s v="Decaf"/>
    <n v="20"/>
    <n v="150"/>
    <n v="57"/>
    <n v="0"/>
    <n v="150"/>
    <n v="87"/>
  </r>
  <r>
    <n v="754"/>
    <x v="0"/>
    <x v="0"/>
    <s v="Beans"/>
    <s v="Coffee"/>
    <s v="Florida"/>
    <s v="East"/>
    <s v="Decaf"/>
    <n v="70"/>
    <n v="190"/>
    <n v="26"/>
    <n v="67"/>
    <n v="200"/>
    <n v="49"/>
  </r>
  <r>
    <n v="325"/>
    <x v="0"/>
    <x v="0"/>
    <s v="Beans"/>
    <s v="Coffee"/>
    <s v="Texas"/>
    <s v="South"/>
    <s v="Decaf"/>
    <n v="100"/>
    <n v="230"/>
    <n v="27"/>
    <n v="68"/>
    <n v="190"/>
    <n v="39"/>
  </r>
  <r>
    <n v="650"/>
    <x v="0"/>
    <x v="0"/>
    <s v="Beans"/>
    <s v="Coffee"/>
    <s v="California"/>
    <s v="West"/>
    <s v="Decaf"/>
    <n v="-120"/>
    <n v="140"/>
    <n v="47"/>
    <n v="-117"/>
    <n v="118"/>
    <n v="91"/>
  </r>
  <r>
    <n v="720"/>
    <x v="0"/>
    <x v="1"/>
    <s v="Beans"/>
    <s v="Espresso"/>
    <s v="Colorado"/>
    <s v="Central"/>
    <s v="Decaf"/>
    <n v="80"/>
    <n v="210"/>
    <n v="23"/>
    <n v="53"/>
    <n v="180"/>
    <n v="55"/>
  </r>
  <r>
    <n v="630"/>
    <x v="0"/>
    <x v="1"/>
    <s v="Beans"/>
    <s v="Espresso"/>
    <s v="Illinois"/>
    <s v="Central"/>
    <s v="Decaf"/>
    <n v="180"/>
    <n v="530"/>
    <n v="63"/>
    <n v="140"/>
    <n v="456"/>
    <n v="88"/>
  </r>
  <r>
    <n v="614"/>
    <x v="0"/>
    <x v="1"/>
    <s v="Beans"/>
    <s v="Espresso"/>
    <s v="Ohio"/>
    <s v="Central"/>
    <s v="Decaf"/>
    <n v="40"/>
    <n v="150"/>
    <n v="22"/>
    <n v="16"/>
    <n v="130"/>
    <n v="56"/>
  </r>
  <r>
    <n v="754"/>
    <x v="0"/>
    <x v="1"/>
    <s v="Beans"/>
    <s v="Espresso"/>
    <s v="Florida"/>
    <s v="East"/>
    <s v="Decaf"/>
    <n v="60"/>
    <n v="170"/>
    <n v="25"/>
    <n v="50"/>
    <n v="180"/>
    <n v="53"/>
  </r>
  <r>
    <n v="956"/>
    <x v="0"/>
    <x v="1"/>
    <s v="Beans"/>
    <s v="Espresso"/>
    <s v="Texas"/>
    <s v="South"/>
    <s v="Decaf"/>
    <n v="60"/>
    <n v="110"/>
    <n v="15"/>
    <n v="54"/>
    <n v="134"/>
    <n v="26"/>
  </r>
  <r>
    <n v="213"/>
    <x v="0"/>
    <x v="1"/>
    <s v="Beans"/>
    <s v="Espresso"/>
    <s v="California"/>
    <s v="West"/>
    <s v="Decaf"/>
    <n v="200"/>
    <n v="520"/>
    <n v="77"/>
    <n v="203"/>
    <n v="546"/>
    <n v="109"/>
  </r>
  <r>
    <n v="719"/>
    <x v="0"/>
    <x v="2"/>
    <s v="Beans"/>
    <s v="Coffee"/>
    <s v="Colorado"/>
    <s v="Central"/>
    <s v="Regular"/>
    <n v="100"/>
    <n v="220"/>
    <n v="24"/>
    <n v="94"/>
    <n v="219"/>
    <n v="36"/>
  </r>
  <r>
    <n v="740"/>
    <x v="0"/>
    <x v="2"/>
    <s v="Beans"/>
    <s v="Coffee"/>
    <s v="Ohio"/>
    <s v="Central"/>
    <s v="Regular"/>
    <n v="50"/>
    <n v="140"/>
    <n v="19"/>
    <n v="34"/>
    <n v="140"/>
    <n v="46"/>
  </r>
  <r>
    <n v="970"/>
    <x v="0"/>
    <x v="3"/>
    <s v="Beans"/>
    <s v="Coffee"/>
    <s v="Colorado"/>
    <s v="Central"/>
    <s v="Regular"/>
    <n v="80"/>
    <n v="190"/>
    <n v="27"/>
    <n v="68"/>
    <n v="190"/>
    <n v="39"/>
  </r>
  <r>
    <n v="217"/>
    <x v="0"/>
    <x v="3"/>
    <s v="Beans"/>
    <s v="Coffee"/>
    <s v="Illinois"/>
    <s v="Central"/>
    <s v="Regular"/>
    <n v="130"/>
    <n v="360"/>
    <n v="47"/>
    <n v="111"/>
    <n v="345"/>
    <n v="90"/>
  </r>
  <r>
    <n v="614"/>
    <x v="0"/>
    <x v="3"/>
    <s v="Beans"/>
    <s v="Coffee"/>
    <s v="Ohio"/>
    <s v="Central"/>
    <s v="Regular"/>
    <n v="50"/>
    <n v="140"/>
    <n v="18"/>
    <n v="42"/>
    <n v="140"/>
    <n v="41"/>
  </r>
  <r>
    <n v="954"/>
    <x v="0"/>
    <x v="3"/>
    <s v="Beans"/>
    <s v="Coffee"/>
    <s v="Florida"/>
    <s v="East"/>
    <s v="Regular"/>
    <n v="70"/>
    <n v="190"/>
    <n v="27"/>
    <n v="68"/>
    <n v="210"/>
    <n v="58"/>
  </r>
  <r>
    <n v="413"/>
    <x v="0"/>
    <x v="3"/>
    <s v="Beans"/>
    <s v="Coffee"/>
    <s v="Massachusetts"/>
    <s v="East"/>
    <s v="Regular"/>
    <n v="360"/>
    <n v="460"/>
    <n v="23"/>
    <n v="367"/>
    <n v="494"/>
    <n v="55"/>
  </r>
  <r>
    <n v="716"/>
    <x v="0"/>
    <x v="3"/>
    <s v="Beans"/>
    <s v="Coffee"/>
    <s v="New York"/>
    <s v="East"/>
    <s v="Regular"/>
    <n v="260"/>
    <n v="640"/>
    <n v="94"/>
    <n v="262"/>
    <n v="678"/>
    <n v="145"/>
  </r>
  <r>
    <n v="409"/>
    <x v="0"/>
    <x v="3"/>
    <s v="Beans"/>
    <s v="Coffee"/>
    <s v="Texas"/>
    <s v="South"/>
    <s v="Regular"/>
    <n v="220"/>
    <n v="560"/>
    <n v="64"/>
    <n v="159"/>
    <n v="452"/>
    <n v="86"/>
  </r>
  <r>
    <n v="916"/>
    <x v="0"/>
    <x v="2"/>
    <s v="Beans"/>
    <s v="Coffee"/>
    <s v="California"/>
    <s v="West"/>
    <s v="Regular"/>
    <n v="30"/>
    <n v="180"/>
    <n v="30"/>
    <n v="-2"/>
    <n v="145"/>
    <n v="52"/>
  </r>
  <r>
    <n v="559"/>
    <x v="0"/>
    <x v="3"/>
    <s v="Beans"/>
    <s v="Coffee"/>
    <s v="California"/>
    <s v="West"/>
    <s v="Regular"/>
    <n v="370"/>
    <n v="840"/>
    <n v="94"/>
    <n v="262"/>
    <n v="678"/>
    <n v="145"/>
  </r>
  <r>
    <n v="303"/>
    <x v="0"/>
    <x v="4"/>
    <s v="Beans"/>
    <s v="Espresso"/>
    <s v="Colorado"/>
    <s v="Central"/>
    <s v="Regular"/>
    <n v="70"/>
    <n v="150"/>
    <n v="15"/>
    <n v="54"/>
    <n v="134"/>
    <n v="26"/>
  </r>
  <r>
    <n v="309"/>
    <x v="0"/>
    <x v="4"/>
    <s v="Beans"/>
    <s v="Espresso"/>
    <s v="Illinois"/>
    <s v="Central"/>
    <s v="Regular"/>
    <n v="260"/>
    <n v="640"/>
    <n v="77"/>
    <n v="203"/>
    <n v="546"/>
    <n v="109"/>
  </r>
  <r>
    <n v="614"/>
    <x v="0"/>
    <x v="4"/>
    <s v="Beans"/>
    <s v="Espresso"/>
    <s v="Ohio"/>
    <s v="Central"/>
    <s v="Regular"/>
    <n v="140"/>
    <n v="400"/>
    <n v="47"/>
    <n v="99"/>
    <n v="341"/>
    <n v="72"/>
  </r>
  <r>
    <n v="239"/>
    <x v="0"/>
    <x v="4"/>
    <s v="Beans"/>
    <s v="Espresso"/>
    <s v="Florida"/>
    <s v="East"/>
    <s v="Regular"/>
    <n v="30"/>
    <n v="180"/>
    <n v="72"/>
    <n v="9"/>
    <n v="190"/>
    <n v="102"/>
  </r>
  <r>
    <n v="781"/>
    <x v="0"/>
    <x v="4"/>
    <s v="Beans"/>
    <s v="Espresso"/>
    <s v="Massachusetts"/>
    <s v="East"/>
    <s v="Regular"/>
    <n v="-10"/>
    <n v="120"/>
    <n v="57"/>
    <n v="-23"/>
    <n v="126"/>
    <n v="86"/>
  </r>
  <r>
    <n v="315"/>
    <x v="0"/>
    <x v="4"/>
    <s v="Beans"/>
    <s v="Espresso"/>
    <s v="New York"/>
    <s v="East"/>
    <s v="Regular"/>
    <n v="-170"/>
    <n v="50"/>
    <n v="95"/>
    <n v="-172"/>
    <n v="61"/>
    <n v="128"/>
  </r>
  <r>
    <n v="978"/>
    <x v="0"/>
    <x v="5"/>
    <s v="Beans"/>
    <s v="Espresso"/>
    <s v="Massachusetts"/>
    <s v="East"/>
    <s v="Regular"/>
    <n v="110"/>
    <n v="330"/>
    <n v="47"/>
    <n v="100"/>
    <n v="341"/>
    <n v="71"/>
  </r>
  <r>
    <n v="631"/>
    <x v="0"/>
    <x v="5"/>
    <s v="Beans"/>
    <s v="Espresso"/>
    <s v="New York"/>
    <s v="East"/>
    <s v="Regular"/>
    <n v="200"/>
    <n v="480"/>
    <n v="63"/>
    <n v="175"/>
    <n v="490"/>
    <n v="87"/>
  </r>
  <r>
    <n v="830"/>
    <x v="0"/>
    <x v="6"/>
    <s v="Beans"/>
    <s v="Espresso"/>
    <s v="Texas"/>
    <s v="South"/>
    <s v="Regular"/>
    <n v="50"/>
    <n v="150"/>
    <n v="23"/>
    <n v="53"/>
    <n v="180"/>
    <n v="55"/>
  </r>
  <r>
    <n v="325"/>
    <x v="0"/>
    <x v="4"/>
    <s v="Beans"/>
    <s v="Espresso"/>
    <s v="Texas"/>
    <s v="South"/>
    <s v="Regular"/>
    <n v="90"/>
    <n v="180"/>
    <n v="24"/>
    <n v="95"/>
    <n v="219"/>
    <n v="35"/>
  </r>
  <r>
    <n v="661"/>
    <x v="0"/>
    <x v="6"/>
    <s v="Beans"/>
    <s v="Espresso"/>
    <s v="California"/>
    <s v="West"/>
    <s v="Regular"/>
    <n v="150"/>
    <n v="430"/>
    <n v="63"/>
    <n v="140"/>
    <n v="456"/>
    <n v="88"/>
  </r>
  <r>
    <n v="818"/>
    <x v="0"/>
    <x v="4"/>
    <s v="Beans"/>
    <s v="Espresso"/>
    <s v="California"/>
    <s v="West"/>
    <s v="Regular"/>
    <n v="20"/>
    <n v="240"/>
    <n v="95"/>
    <n v="17"/>
    <n v="250"/>
    <n v="128"/>
  </r>
  <r>
    <n v="712"/>
    <x v="0"/>
    <x v="0"/>
    <s v="Beans"/>
    <s v="Coffee"/>
    <s v="Iowa"/>
    <s v="Central"/>
    <s v="Decaf"/>
    <n v="20"/>
    <n v="50"/>
    <n v="7"/>
    <n v="12"/>
    <n v="54"/>
    <n v="19"/>
  </r>
  <r>
    <n v="573"/>
    <x v="0"/>
    <x v="0"/>
    <s v="Beans"/>
    <s v="Coffee"/>
    <s v="Missouri"/>
    <s v="Central"/>
    <s v="Decaf"/>
    <n v="50"/>
    <n v="170"/>
    <n v="24"/>
    <n v="47"/>
    <n v="170"/>
    <n v="45"/>
  </r>
  <r>
    <n v="414"/>
    <x v="0"/>
    <x v="0"/>
    <s v="Beans"/>
    <s v="Coffee"/>
    <s v="Wisconsin"/>
    <s v="Central"/>
    <s v="Decaf"/>
    <n v="60"/>
    <n v="180"/>
    <n v="25"/>
    <n v="51"/>
    <n v="180"/>
    <n v="52"/>
  </r>
  <r>
    <n v="985"/>
    <x v="0"/>
    <x v="0"/>
    <s v="Beans"/>
    <s v="Coffee"/>
    <s v="Louisiana"/>
    <s v="South"/>
    <s v="Decaf"/>
    <n v="50"/>
    <n v="100"/>
    <n v="9"/>
    <n v="28"/>
    <n v="81"/>
    <n v="20"/>
  </r>
  <r>
    <n v="505"/>
    <x v="0"/>
    <x v="0"/>
    <s v="Beans"/>
    <s v="Coffee"/>
    <s v="New Mexico"/>
    <s v="South"/>
    <s v="Decaf"/>
    <n v="-30"/>
    <n v="120"/>
    <n v="27"/>
    <n v="-39"/>
    <n v="99"/>
    <n v="50"/>
  </r>
  <r>
    <n v="580"/>
    <x v="0"/>
    <x v="0"/>
    <s v="Beans"/>
    <s v="Coffee"/>
    <s v="Oklahoma"/>
    <s v="South"/>
    <s v="Decaf"/>
    <n v="50"/>
    <n v="100"/>
    <n v="8"/>
    <n v="28"/>
    <n v="80"/>
    <n v="20"/>
  </r>
  <r>
    <n v="775"/>
    <x v="0"/>
    <x v="0"/>
    <s v="Beans"/>
    <s v="Coffee"/>
    <s v="Nevada"/>
    <s v="West"/>
    <s v="Decaf"/>
    <n v="20"/>
    <n v="70"/>
    <n v="8"/>
    <n v="4"/>
    <n v="62"/>
    <n v="30"/>
  </r>
  <r>
    <n v="971"/>
    <x v="0"/>
    <x v="0"/>
    <s v="Beans"/>
    <s v="Coffee"/>
    <s v="Oregon"/>
    <s v="West"/>
    <s v="Decaf"/>
    <n v="70"/>
    <n v="170"/>
    <n v="18"/>
    <n v="42"/>
    <n v="140"/>
    <n v="41"/>
  </r>
  <r>
    <n v="801"/>
    <x v="0"/>
    <x v="0"/>
    <s v="Beans"/>
    <s v="Coffee"/>
    <s v="Utah"/>
    <s v="West"/>
    <s v="Decaf"/>
    <n v="70"/>
    <n v="230"/>
    <n v="32"/>
    <n v="39"/>
    <n v="190"/>
    <n v="66"/>
  </r>
  <r>
    <n v="509"/>
    <x v="0"/>
    <x v="0"/>
    <s v="Beans"/>
    <s v="Coffee"/>
    <s v="Washington"/>
    <s v="West"/>
    <s v="Decaf"/>
    <n v="60"/>
    <n v="230"/>
    <n v="72"/>
    <n v="9"/>
    <n v="190"/>
    <n v="102"/>
  </r>
  <r>
    <n v="563"/>
    <x v="0"/>
    <x v="1"/>
    <s v="Beans"/>
    <s v="Espresso"/>
    <s v="Iowa"/>
    <s v="Central"/>
    <s v="Decaf"/>
    <n v="30"/>
    <n v="50"/>
    <n v="4"/>
    <n v="10"/>
    <n v="43"/>
    <n v="16"/>
  </r>
  <r>
    <n v="660"/>
    <x v="0"/>
    <x v="1"/>
    <s v="Beans"/>
    <s v="Espresso"/>
    <s v="Missouri"/>
    <s v="Central"/>
    <s v="Decaf"/>
    <n v="60"/>
    <n v="130"/>
    <n v="12"/>
    <n v="45"/>
    <n v="114"/>
    <n v="23"/>
  </r>
  <r>
    <n v="262"/>
    <x v="0"/>
    <x v="1"/>
    <s v="Beans"/>
    <s v="Espresso"/>
    <s v="Wisconsin"/>
    <s v="Central"/>
    <s v="Decaf"/>
    <n v="50"/>
    <n v="120"/>
    <n v="15"/>
    <n v="34"/>
    <n v="110"/>
    <n v="28"/>
  </r>
  <r>
    <n v="475"/>
    <x v="0"/>
    <x v="1"/>
    <s v="Beans"/>
    <s v="Espresso"/>
    <s v="Connecticut"/>
    <s v="East"/>
    <s v="Decaf"/>
    <n v="40"/>
    <n v="120"/>
    <n v="18"/>
    <n v="30"/>
    <n v="130"/>
    <n v="45"/>
  </r>
  <r>
    <n v="337"/>
    <x v="0"/>
    <x v="1"/>
    <s v="Beans"/>
    <s v="Espresso"/>
    <s v="Louisiana"/>
    <s v="South"/>
    <s v="Decaf"/>
    <n v="50"/>
    <n v="120"/>
    <n v="19"/>
    <n v="48"/>
    <n v="150"/>
    <n v="41"/>
  </r>
  <r>
    <n v="505"/>
    <x v="0"/>
    <x v="1"/>
    <s v="Beans"/>
    <s v="Espresso"/>
    <s v="New Mexico"/>
    <s v="South"/>
    <s v="Decaf"/>
    <n v="10"/>
    <n v="70"/>
    <n v="11"/>
    <n v="9"/>
    <n v="82"/>
    <n v="38"/>
  </r>
  <r>
    <n v="405"/>
    <x v="0"/>
    <x v="1"/>
    <s v="Beans"/>
    <s v="Espresso"/>
    <s v="Oklahoma"/>
    <s v="South"/>
    <s v="Decaf"/>
    <n v="70"/>
    <n v="180"/>
    <n v="27"/>
    <n v="67"/>
    <n v="210"/>
    <n v="59"/>
  </r>
  <r>
    <n v="775"/>
    <x v="0"/>
    <x v="1"/>
    <s v="Beans"/>
    <s v="Espresso"/>
    <s v="Nevada"/>
    <s v="West"/>
    <s v="Decaf"/>
    <n v="20"/>
    <n v="40"/>
    <n v="4"/>
    <n v="11"/>
    <n v="43"/>
    <n v="15"/>
  </r>
  <r>
    <n v="971"/>
    <x v="0"/>
    <x v="1"/>
    <s v="Beans"/>
    <s v="Espresso"/>
    <s v="Oregon"/>
    <s v="West"/>
    <s v="Decaf"/>
    <n v="100"/>
    <n v="320"/>
    <n v="47"/>
    <n v="99"/>
    <n v="341"/>
    <n v="72"/>
  </r>
  <r>
    <n v="435"/>
    <x v="0"/>
    <x v="1"/>
    <s v="Beans"/>
    <s v="Espresso"/>
    <s v="Utah"/>
    <s v="West"/>
    <s v="Decaf"/>
    <n v="50"/>
    <n v="110"/>
    <n v="14"/>
    <n v="47"/>
    <n v="123"/>
    <n v="26"/>
  </r>
  <r>
    <n v="206"/>
    <x v="0"/>
    <x v="1"/>
    <s v="Beans"/>
    <s v="Espresso"/>
    <s v="Washington"/>
    <s v="West"/>
    <s v="Decaf"/>
    <n v="60"/>
    <n v="140"/>
    <n v="21"/>
    <n v="39"/>
    <n v="150"/>
    <n v="42"/>
  </r>
  <r>
    <n v="319"/>
    <x v="0"/>
    <x v="2"/>
    <s v="Beans"/>
    <s v="Coffee"/>
    <s v="Iowa"/>
    <s v="Central"/>
    <s v="Regular"/>
    <n v="20"/>
    <n v="40"/>
    <n v="5"/>
    <n v="11"/>
    <n v="45"/>
    <n v="16"/>
  </r>
  <r>
    <n v="262"/>
    <x v="0"/>
    <x v="2"/>
    <s v="Beans"/>
    <s v="Coffee"/>
    <s v="Wisconsin"/>
    <s v="Central"/>
    <s v="Regular"/>
    <n v="30"/>
    <n v="120"/>
    <n v="20"/>
    <n v="13"/>
    <n v="120"/>
    <n v="53"/>
  </r>
  <r>
    <n v="641"/>
    <x v="0"/>
    <x v="3"/>
    <s v="Beans"/>
    <s v="Coffee"/>
    <s v="Iowa"/>
    <s v="Central"/>
    <s v="Regular"/>
    <n v="20"/>
    <n v="60"/>
    <n v="8"/>
    <n v="5"/>
    <n v="62"/>
    <n v="29"/>
  </r>
  <r>
    <n v="636"/>
    <x v="0"/>
    <x v="3"/>
    <s v="Beans"/>
    <s v="Coffee"/>
    <s v="Missouri"/>
    <s v="Central"/>
    <s v="Regular"/>
    <n v="40"/>
    <n v="190"/>
    <n v="32"/>
    <n v="39"/>
    <n v="190"/>
    <n v="66"/>
  </r>
  <r>
    <n v="262"/>
    <x v="0"/>
    <x v="3"/>
    <s v="Beans"/>
    <s v="Coffee"/>
    <s v="Wisconsin"/>
    <s v="Central"/>
    <s v="Regular"/>
    <n v="20"/>
    <n v="190"/>
    <n v="72"/>
    <n v="9"/>
    <n v="190"/>
    <n v="102"/>
  </r>
  <r>
    <n v="603"/>
    <x v="0"/>
    <x v="2"/>
    <s v="Beans"/>
    <s v="Coffee"/>
    <s v="New Hampshire"/>
    <s v="East"/>
    <s v="Regular"/>
    <n v="30"/>
    <n v="80"/>
    <n v="12"/>
    <n v="20"/>
    <n v="93"/>
    <n v="35"/>
  </r>
  <r>
    <n v="475"/>
    <x v="0"/>
    <x v="3"/>
    <s v="Beans"/>
    <s v="Coffee"/>
    <s v="Connecticut"/>
    <s v="East"/>
    <s v="Regular"/>
    <n v="130"/>
    <n v="290"/>
    <n v="40"/>
    <n v="115"/>
    <n v="310"/>
    <n v="71"/>
  </r>
  <r>
    <n v="603"/>
    <x v="0"/>
    <x v="3"/>
    <s v="Beans"/>
    <s v="Coffee"/>
    <s v="New Hampshire"/>
    <s v="East"/>
    <s v="Regular"/>
    <n v="40"/>
    <n v="110"/>
    <n v="15"/>
    <n v="25"/>
    <n v="120"/>
    <n v="47"/>
  </r>
  <r>
    <n v="225"/>
    <x v="0"/>
    <x v="3"/>
    <s v="Beans"/>
    <s v="Coffee"/>
    <s v="Louisiana"/>
    <s v="South"/>
    <s v="Regular"/>
    <n v="50"/>
    <n v="100"/>
    <n v="9"/>
    <n v="30"/>
    <n v="85"/>
    <n v="21"/>
  </r>
  <r>
    <n v="505"/>
    <x v="0"/>
    <x v="3"/>
    <s v="Beans"/>
    <s v="Coffee"/>
    <s v="New Mexico"/>
    <s v="South"/>
    <s v="Regular"/>
    <n v="50"/>
    <n v="150"/>
    <n v="15"/>
    <n v="26"/>
    <n v="120"/>
    <n v="46"/>
  </r>
  <r>
    <n v="580"/>
    <x v="0"/>
    <x v="3"/>
    <s v="Beans"/>
    <s v="Coffee"/>
    <s v="Oklahoma"/>
    <s v="South"/>
    <s v="Regular"/>
    <n v="50"/>
    <n v="120"/>
    <n v="14"/>
    <n v="29"/>
    <n v="100"/>
    <n v="27"/>
  </r>
  <r>
    <n v="541"/>
    <x v="0"/>
    <x v="2"/>
    <s v="Beans"/>
    <s v="Coffee"/>
    <s v="Oregon"/>
    <s v="West"/>
    <s v="Regular"/>
    <n v="40"/>
    <n v="180"/>
    <n v="57"/>
    <n v="1"/>
    <n v="150"/>
    <n v="86"/>
  </r>
  <r>
    <n v="801"/>
    <x v="0"/>
    <x v="2"/>
    <s v="Beans"/>
    <s v="Coffee"/>
    <s v="Utah"/>
    <s v="West"/>
    <s v="Regular"/>
    <n v="80"/>
    <n v="210"/>
    <n v="24"/>
    <n v="47"/>
    <n v="170"/>
    <n v="45"/>
  </r>
  <r>
    <n v="702"/>
    <x v="0"/>
    <x v="3"/>
    <s v="Beans"/>
    <s v="Coffee"/>
    <s v="Nevada"/>
    <s v="West"/>
    <s v="Regular"/>
    <n v="10"/>
    <n v="90"/>
    <n v="12"/>
    <n v="-3"/>
    <n v="76"/>
    <n v="45"/>
  </r>
  <r>
    <n v="503"/>
    <x v="0"/>
    <x v="3"/>
    <s v="Beans"/>
    <s v="Coffee"/>
    <s v="Oregon"/>
    <s v="West"/>
    <s v="Regular"/>
    <n v="60"/>
    <n v="200"/>
    <n v="22"/>
    <n v="28"/>
    <n v="160"/>
    <n v="65"/>
  </r>
  <r>
    <n v="435"/>
    <x v="0"/>
    <x v="3"/>
    <s v="Beans"/>
    <s v="Coffee"/>
    <s v="Utah"/>
    <s v="West"/>
    <s v="Regular"/>
    <n v="70"/>
    <n v="160"/>
    <n v="18"/>
    <n v="30"/>
    <n v="130"/>
    <n v="45"/>
  </r>
  <r>
    <n v="206"/>
    <x v="0"/>
    <x v="3"/>
    <s v="Beans"/>
    <s v="Coffee"/>
    <s v="Washington"/>
    <s v="West"/>
    <s v="Regular"/>
    <n v="70"/>
    <n v="160"/>
    <n v="16"/>
    <n v="38"/>
    <n v="130"/>
    <n v="39"/>
  </r>
  <r>
    <n v="563"/>
    <x v="0"/>
    <x v="4"/>
    <s v="Beans"/>
    <s v="Espresso"/>
    <s v="Iowa"/>
    <s v="Central"/>
    <s v="Regular"/>
    <n v="30"/>
    <n v="50"/>
    <n v="4"/>
    <n v="11"/>
    <n v="43"/>
    <n v="15"/>
  </r>
  <r>
    <n v="573"/>
    <x v="0"/>
    <x v="4"/>
    <s v="Beans"/>
    <s v="Espresso"/>
    <s v="Missouri"/>
    <s v="Central"/>
    <s v="Regular"/>
    <n v="70"/>
    <n v="140"/>
    <n v="14"/>
    <n v="48"/>
    <n v="123"/>
    <n v="25"/>
  </r>
  <r>
    <n v="414"/>
    <x v="0"/>
    <x v="4"/>
    <s v="Beans"/>
    <s v="Espresso"/>
    <s v="Wisconsin"/>
    <s v="Central"/>
    <s v="Regular"/>
    <n v="50"/>
    <n v="170"/>
    <n v="21"/>
    <n v="38"/>
    <n v="150"/>
    <n v="43"/>
  </r>
  <r>
    <n v="860"/>
    <x v="0"/>
    <x v="4"/>
    <s v="Beans"/>
    <s v="Espresso"/>
    <s v="Connecticut"/>
    <s v="East"/>
    <s v="Regular"/>
    <n v="20"/>
    <n v="170"/>
    <n v="68"/>
    <n v="7"/>
    <n v="180"/>
    <n v="98"/>
  </r>
  <r>
    <n v="603"/>
    <x v="0"/>
    <x v="4"/>
    <s v="Beans"/>
    <s v="Espresso"/>
    <s v="New Hampshire"/>
    <s v="East"/>
    <s v="Regular"/>
    <n v="0"/>
    <n v="80"/>
    <n v="34"/>
    <n v="-10"/>
    <n v="90"/>
    <n v="63"/>
  </r>
  <r>
    <n v="603"/>
    <x v="0"/>
    <x v="5"/>
    <s v="Beans"/>
    <s v="Espresso"/>
    <s v="New Hampshire"/>
    <s v="East"/>
    <s v="Regular"/>
    <n v="0"/>
    <n v="60"/>
    <n v="11"/>
    <n v="-8"/>
    <n v="65"/>
    <n v="44"/>
  </r>
  <r>
    <n v="504"/>
    <x v="0"/>
    <x v="6"/>
    <s v="Beans"/>
    <s v="Espresso"/>
    <s v="Louisiana"/>
    <s v="South"/>
    <s v="Regular"/>
    <n v="10"/>
    <n v="150"/>
    <n v="68"/>
    <n v="8"/>
    <n v="180"/>
    <n v="97"/>
  </r>
  <r>
    <n v="505"/>
    <x v="0"/>
    <x v="6"/>
    <s v="Beans"/>
    <s v="Espresso"/>
    <s v="New Mexico"/>
    <s v="South"/>
    <s v="Regular"/>
    <n v="0"/>
    <n v="50"/>
    <n v="11"/>
    <n v="-8"/>
    <n v="65"/>
    <n v="44"/>
  </r>
  <r>
    <n v="405"/>
    <x v="0"/>
    <x v="6"/>
    <s v="Beans"/>
    <s v="Espresso"/>
    <s v="Oklahoma"/>
    <s v="South"/>
    <s v="Regular"/>
    <n v="70"/>
    <n v="170"/>
    <n v="26"/>
    <n v="66"/>
    <n v="200"/>
    <n v="50"/>
  </r>
  <r>
    <n v="337"/>
    <x v="0"/>
    <x v="4"/>
    <s v="Beans"/>
    <s v="Espresso"/>
    <s v="Louisiana"/>
    <s v="South"/>
    <s v="Regular"/>
    <n v="80"/>
    <n v="150"/>
    <n v="20"/>
    <n v="70"/>
    <n v="180"/>
    <n v="43"/>
  </r>
  <r>
    <n v="505"/>
    <x v="0"/>
    <x v="4"/>
    <s v="Beans"/>
    <s v="Espresso"/>
    <s v="New Mexico"/>
    <s v="South"/>
    <s v="Regular"/>
    <n v="-10"/>
    <n v="70"/>
    <n v="34"/>
    <n v="-10"/>
    <n v="90"/>
    <n v="63"/>
  </r>
  <r>
    <n v="405"/>
    <x v="0"/>
    <x v="4"/>
    <s v="Beans"/>
    <s v="Espresso"/>
    <s v="Oklahoma"/>
    <s v="South"/>
    <s v="Regular"/>
    <n v="40"/>
    <n v="60"/>
    <n v="8"/>
    <n v="28"/>
    <n v="80"/>
    <n v="20"/>
  </r>
  <r>
    <n v="775"/>
    <x v="0"/>
    <x v="6"/>
    <s v="Beans"/>
    <s v="Espresso"/>
    <s v="Nevada"/>
    <s v="West"/>
    <s v="Regular"/>
    <n v="20"/>
    <n v="40"/>
    <n v="4"/>
    <n v="11"/>
    <n v="43"/>
    <n v="15"/>
  </r>
  <r>
    <n v="503"/>
    <x v="0"/>
    <x v="6"/>
    <s v="Beans"/>
    <s v="Espresso"/>
    <s v="Oregon"/>
    <s v="West"/>
    <s v="Regular"/>
    <n v="20"/>
    <n v="120"/>
    <n v="22"/>
    <n v="16"/>
    <n v="130"/>
    <n v="56"/>
  </r>
  <r>
    <n v="435"/>
    <x v="0"/>
    <x v="6"/>
    <s v="Beans"/>
    <s v="Espresso"/>
    <s v="Utah"/>
    <s v="West"/>
    <s v="Regular"/>
    <n v="40"/>
    <n v="100"/>
    <n v="12"/>
    <n v="44"/>
    <n v="114"/>
    <n v="24"/>
  </r>
  <r>
    <n v="425"/>
    <x v="0"/>
    <x v="6"/>
    <s v="Beans"/>
    <s v="Espresso"/>
    <s v="Washington"/>
    <s v="West"/>
    <s v="Regular"/>
    <n v="40"/>
    <n v="100"/>
    <n v="15"/>
    <n v="35"/>
    <n v="110"/>
    <n v="27"/>
  </r>
  <r>
    <n v="702"/>
    <x v="0"/>
    <x v="4"/>
    <s v="Beans"/>
    <s v="Espresso"/>
    <s v="Nevada"/>
    <s v="West"/>
    <s v="Regular"/>
    <n v="20"/>
    <n v="40"/>
    <n v="5"/>
    <n v="10"/>
    <n v="45"/>
    <n v="17"/>
  </r>
  <r>
    <n v="503"/>
    <x v="0"/>
    <x v="4"/>
    <s v="Beans"/>
    <s v="Espresso"/>
    <s v="Oregon"/>
    <s v="West"/>
    <s v="Regular"/>
    <n v="50"/>
    <n v="130"/>
    <n v="19"/>
    <n v="33"/>
    <n v="140"/>
    <n v="47"/>
  </r>
  <r>
    <n v="435"/>
    <x v="0"/>
    <x v="4"/>
    <s v="Beans"/>
    <s v="Espresso"/>
    <s v="Utah"/>
    <s v="West"/>
    <s v="Regular"/>
    <n v="40"/>
    <n v="100"/>
    <n v="16"/>
    <n v="34"/>
    <n v="112"/>
    <n v="29"/>
  </r>
  <r>
    <n v="253"/>
    <x v="0"/>
    <x v="4"/>
    <s v="Beans"/>
    <s v="Espresso"/>
    <s v="Washington"/>
    <s v="West"/>
    <s v="Regular"/>
    <n v="20"/>
    <n v="110"/>
    <n v="20"/>
    <n v="13"/>
    <n v="120"/>
    <n v="53"/>
  </r>
  <r>
    <n v="970"/>
    <x v="0"/>
    <x v="7"/>
    <s v="Leaves"/>
    <s v="Herbal Tea"/>
    <s v="Colorado"/>
    <s v="Central"/>
    <s v="Decaf"/>
    <n v="110"/>
    <n v="300"/>
    <n v="47"/>
    <n v="99"/>
    <n v="341"/>
    <n v="72"/>
  </r>
  <r>
    <n v="312"/>
    <x v="0"/>
    <x v="7"/>
    <s v="Leaves"/>
    <s v="Herbal Tea"/>
    <s v="Illinois"/>
    <s v="Central"/>
    <s v="Decaf"/>
    <n v="100"/>
    <n v="190"/>
    <n v="24"/>
    <n v="95"/>
    <n v="219"/>
    <n v="35"/>
  </r>
  <r>
    <n v="937"/>
    <x v="0"/>
    <x v="7"/>
    <s v="Leaves"/>
    <s v="Herbal Tea"/>
    <s v="Ohio"/>
    <s v="Central"/>
    <s v="Decaf"/>
    <n v="50"/>
    <n v="70"/>
    <n v="8"/>
    <n v="29"/>
    <n v="80"/>
    <n v="19"/>
  </r>
  <r>
    <n v="719"/>
    <x v="0"/>
    <x v="8"/>
    <s v="Leaves"/>
    <s v="Herbal Tea"/>
    <s v="Colorado"/>
    <s v="Central"/>
    <s v="Decaf"/>
    <n v="20"/>
    <n v="130"/>
    <n v="57"/>
    <n v="0"/>
    <n v="150"/>
    <n v="87"/>
  </r>
  <r>
    <n v="630"/>
    <x v="0"/>
    <x v="8"/>
    <s v="Leaves"/>
    <s v="Herbal Tea"/>
    <s v="Illinois"/>
    <s v="Central"/>
    <s v="Decaf"/>
    <n v="60"/>
    <n v="160"/>
    <n v="27"/>
    <n v="68"/>
    <n v="190"/>
    <n v="39"/>
  </r>
  <r>
    <n v="740"/>
    <x v="0"/>
    <x v="8"/>
    <s v="Leaves"/>
    <s v="Herbal Tea"/>
    <s v="Ohio"/>
    <s v="Central"/>
    <s v="Decaf"/>
    <n v="50"/>
    <n v="70"/>
    <n v="8"/>
    <n v="29"/>
    <n v="80"/>
    <n v="19"/>
  </r>
  <r>
    <n v="970"/>
    <x v="0"/>
    <x v="9"/>
    <s v="Leaves"/>
    <s v="Herbal Tea"/>
    <s v="Colorado"/>
    <s v="Central"/>
    <s v="Decaf"/>
    <n v="40"/>
    <n v="120"/>
    <n v="19"/>
    <n v="33"/>
    <n v="140"/>
    <n v="47"/>
  </r>
  <r>
    <n v="773"/>
    <x v="0"/>
    <x v="9"/>
    <s v="Leaves"/>
    <s v="Herbal Tea"/>
    <s v="Illinois"/>
    <s v="Central"/>
    <s v="Decaf"/>
    <n v="100"/>
    <n v="200"/>
    <n v="26"/>
    <n v="101"/>
    <n v="234"/>
    <n v="38"/>
  </r>
  <r>
    <n v="863"/>
    <x v="0"/>
    <x v="7"/>
    <s v="Leaves"/>
    <s v="Herbal Tea"/>
    <s v="Florida"/>
    <s v="East"/>
    <s v="Decaf"/>
    <n v="30"/>
    <n v="80"/>
    <n v="15"/>
    <n v="34"/>
    <n v="110"/>
    <n v="28"/>
  </r>
  <r>
    <n v="239"/>
    <x v="0"/>
    <x v="8"/>
    <s v="Leaves"/>
    <s v="Herbal Tea"/>
    <s v="Florida"/>
    <s v="East"/>
    <s v="Decaf"/>
    <n v="20"/>
    <n v="90"/>
    <n v="20"/>
    <n v="13"/>
    <n v="120"/>
    <n v="53"/>
  </r>
  <r>
    <n v="339"/>
    <x v="0"/>
    <x v="8"/>
    <s v="Leaves"/>
    <s v="Herbal Tea"/>
    <s v="Massachusetts"/>
    <s v="East"/>
    <s v="Decaf"/>
    <n v="30"/>
    <n v="100"/>
    <n v="22"/>
    <n v="17"/>
    <n v="130"/>
    <n v="55"/>
  </r>
  <r>
    <n v="607"/>
    <x v="0"/>
    <x v="8"/>
    <s v="Leaves"/>
    <s v="Herbal Tea"/>
    <s v="New York"/>
    <s v="East"/>
    <s v="Decaf"/>
    <n v="100"/>
    <n v="370"/>
    <n v="93"/>
    <n v="111"/>
    <n v="483"/>
    <n v="127"/>
  </r>
  <r>
    <n v="772"/>
    <x v="0"/>
    <x v="9"/>
    <s v="Leaves"/>
    <s v="Herbal Tea"/>
    <s v="Florida"/>
    <s v="East"/>
    <s v="Decaf"/>
    <n v="40"/>
    <n v="110"/>
    <n v="21"/>
    <n v="39"/>
    <n v="150"/>
    <n v="42"/>
  </r>
  <r>
    <n v="845"/>
    <x v="0"/>
    <x v="9"/>
    <s v="Leaves"/>
    <s v="Herbal Tea"/>
    <s v="New York"/>
    <s v="East"/>
    <s v="Decaf"/>
    <n v="-70"/>
    <n v="140"/>
    <n v="64"/>
    <n v="-113"/>
    <n v="180"/>
    <n v="86"/>
  </r>
  <r>
    <n v="281"/>
    <x v="0"/>
    <x v="7"/>
    <s v="Leaves"/>
    <s v="Herbal Tea"/>
    <s v="Texas"/>
    <s v="South"/>
    <s v="Decaf"/>
    <n v="50"/>
    <n v="130"/>
    <n v="19"/>
    <n v="33"/>
    <n v="140"/>
    <n v="47"/>
  </r>
  <r>
    <n v="254"/>
    <x v="0"/>
    <x v="8"/>
    <s v="Leaves"/>
    <s v="Herbal Tea"/>
    <s v="Texas"/>
    <s v="South"/>
    <s v="Decaf"/>
    <n v="50"/>
    <n v="130"/>
    <n v="18"/>
    <n v="42"/>
    <n v="140"/>
    <n v="41"/>
  </r>
  <r>
    <n v="510"/>
    <x v="0"/>
    <x v="7"/>
    <s v="Leaves"/>
    <s v="Herbal Tea"/>
    <s v="California"/>
    <s v="West"/>
    <s v="Decaf"/>
    <n v="100"/>
    <n v="200"/>
    <n v="26"/>
    <n v="102"/>
    <n v="234"/>
    <n v="37"/>
  </r>
  <r>
    <n v="310"/>
    <x v="0"/>
    <x v="8"/>
    <s v="Leaves"/>
    <s v="Herbal Tea"/>
    <s v="California"/>
    <s v="West"/>
    <s v="Decaf"/>
    <n v="160"/>
    <n v="390"/>
    <n v="64"/>
    <n v="160"/>
    <n v="452"/>
    <n v="85"/>
  </r>
  <r>
    <n v="707"/>
    <x v="0"/>
    <x v="9"/>
    <s v="Leaves"/>
    <s v="Herbal Tea"/>
    <s v="California"/>
    <s v="West"/>
    <s v="Decaf"/>
    <n v="60"/>
    <n v="160"/>
    <n v="27"/>
    <n v="67"/>
    <n v="190"/>
    <n v="40"/>
  </r>
  <r>
    <n v="719"/>
    <x v="0"/>
    <x v="10"/>
    <s v="Leaves"/>
    <s v="Tea"/>
    <s v="Colorado"/>
    <s v="Central"/>
    <s v="Regular"/>
    <n v="20"/>
    <n v="110"/>
    <n v="22"/>
    <n v="17"/>
    <n v="130"/>
    <n v="55"/>
  </r>
  <r>
    <n v="217"/>
    <x v="0"/>
    <x v="10"/>
    <s v="Leaves"/>
    <s v="Tea"/>
    <s v="Illinois"/>
    <s v="Central"/>
    <s v="Regular"/>
    <n v="50"/>
    <n v="110"/>
    <n v="15"/>
    <n v="53"/>
    <n v="134"/>
    <n v="27"/>
  </r>
  <r>
    <n v="567"/>
    <x v="0"/>
    <x v="10"/>
    <s v="Leaves"/>
    <s v="Tea"/>
    <s v="Ohio"/>
    <s v="Central"/>
    <s v="Regular"/>
    <n v="60"/>
    <n v="180"/>
    <n v="27"/>
    <n v="68"/>
    <n v="210"/>
    <n v="58"/>
  </r>
  <r>
    <n v="303"/>
    <x v="0"/>
    <x v="11"/>
    <s v="Leaves"/>
    <s v="Tea"/>
    <s v="Colorado"/>
    <s v="Central"/>
    <s v="Regular"/>
    <n v="40"/>
    <n v="120"/>
    <n v="19"/>
    <n v="36"/>
    <n v="140"/>
    <n v="40"/>
  </r>
  <r>
    <n v="708"/>
    <x v="0"/>
    <x v="11"/>
    <s v="Leaves"/>
    <s v="Tea"/>
    <s v="Illinois"/>
    <s v="Central"/>
    <s v="Regular"/>
    <n v="40"/>
    <n v="150"/>
    <n v="23"/>
    <n v="54"/>
    <n v="180"/>
    <n v="54"/>
  </r>
  <r>
    <n v="216"/>
    <x v="0"/>
    <x v="11"/>
    <s v="Leaves"/>
    <s v="Tea"/>
    <s v="Ohio"/>
    <s v="Central"/>
    <s v="Regular"/>
    <n v="60"/>
    <n v="170"/>
    <n v="26"/>
    <n v="67"/>
    <n v="200"/>
    <n v="49"/>
  </r>
  <r>
    <n v="303"/>
    <x v="0"/>
    <x v="12"/>
    <s v="Leaves"/>
    <s v="Tea"/>
    <s v="Colorado"/>
    <s v="Central"/>
    <s v="Regular"/>
    <n v="30"/>
    <n v="80"/>
    <n v="14"/>
    <n v="30"/>
    <n v="100"/>
    <n v="26"/>
  </r>
  <r>
    <n v="954"/>
    <x v="0"/>
    <x v="10"/>
    <s v="Leaves"/>
    <s v="Tea"/>
    <s v="Florida"/>
    <s v="East"/>
    <s v="Regular"/>
    <n v="40"/>
    <n v="80"/>
    <n v="8"/>
    <n v="28"/>
    <n v="80"/>
    <n v="20"/>
  </r>
  <r>
    <n v="508"/>
    <x v="0"/>
    <x v="10"/>
    <s v="Leaves"/>
    <s v="Tea"/>
    <s v="Massachusetts"/>
    <s v="East"/>
    <s v="Regular"/>
    <n v="40"/>
    <n v="80"/>
    <n v="8"/>
    <n v="29"/>
    <n v="80"/>
    <n v="19"/>
  </r>
  <r>
    <n v="347"/>
    <x v="0"/>
    <x v="10"/>
    <s v="Leaves"/>
    <s v="Tea"/>
    <s v="New York"/>
    <s v="East"/>
    <s v="Regular"/>
    <n v="120"/>
    <n v="250"/>
    <n v="26"/>
    <n v="101"/>
    <n v="234"/>
    <n v="38"/>
  </r>
  <r>
    <n v="646"/>
    <x v="0"/>
    <x v="11"/>
    <s v="Leaves"/>
    <s v="Tea"/>
    <s v="New York"/>
    <s v="East"/>
    <s v="Regular"/>
    <n v="110"/>
    <n v="230"/>
    <n v="24"/>
    <n v="94"/>
    <n v="219"/>
    <n v="36"/>
  </r>
  <r>
    <n v="754"/>
    <x v="0"/>
    <x v="12"/>
    <s v="Leaves"/>
    <s v="Tea"/>
    <s v="Florida"/>
    <s v="East"/>
    <s v="Regular"/>
    <n v="40"/>
    <n v="80"/>
    <n v="9"/>
    <n v="28"/>
    <n v="81"/>
    <n v="20"/>
  </r>
  <r>
    <n v="781"/>
    <x v="0"/>
    <x v="12"/>
    <s v="Leaves"/>
    <s v="Tea"/>
    <s v="Massachusetts"/>
    <s v="East"/>
    <s v="Regular"/>
    <n v="40"/>
    <n v="80"/>
    <n v="8"/>
    <n v="29"/>
    <n v="80"/>
    <n v="19"/>
  </r>
  <r>
    <n v="347"/>
    <x v="0"/>
    <x v="12"/>
    <s v="Leaves"/>
    <s v="Tea"/>
    <s v="New York"/>
    <s v="East"/>
    <s v="Regular"/>
    <n v="70"/>
    <n v="140"/>
    <n v="15"/>
    <n v="54"/>
    <n v="134"/>
    <n v="26"/>
  </r>
  <r>
    <n v="619"/>
    <x v="0"/>
    <x v="10"/>
    <s v="Leaves"/>
    <s v="Tea"/>
    <s v="California"/>
    <s v="West"/>
    <s v="Regular"/>
    <n v="80"/>
    <n v="140"/>
    <n v="24"/>
    <n v="94"/>
    <n v="219"/>
    <n v="36"/>
  </r>
  <r>
    <n v="650"/>
    <x v="0"/>
    <x v="11"/>
    <s v="Leaves"/>
    <s v="Tea"/>
    <s v="California"/>
    <s v="West"/>
    <s v="Regular"/>
    <n v="60"/>
    <n v="90"/>
    <n v="15"/>
    <n v="54"/>
    <n v="134"/>
    <n v="26"/>
  </r>
  <r>
    <n v="760"/>
    <x v="0"/>
    <x v="12"/>
    <s v="Leaves"/>
    <s v="Tea"/>
    <s v="California"/>
    <s v="West"/>
    <s v="Regular"/>
    <n v="50"/>
    <n v="120"/>
    <n v="23"/>
    <n v="54"/>
    <n v="180"/>
    <n v="54"/>
  </r>
  <r>
    <n v="641"/>
    <x v="0"/>
    <x v="7"/>
    <s v="Leaves"/>
    <s v="Herbal Tea"/>
    <s v="Iowa"/>
    <s v="Central"/>
    <s v="Decaf"/>
    <n v="200"/>
    <n v="480"/>
    <n v="77"/>
    <n v="202"/>
    <n v="546"/>
    <n v="110"/>
  </r>
  <r>
    <n v="573"/>
    <x v="0"/>
    <x v="7"/>
    <s v="Leaves"/>
    <s v="Herbal Tea"/>
    <s v="Missouri"/>
    <s v="Central"/>
    <s v="Decaf"/>
    <n v="0"/>
    <n v="70"/>
    <n v="34"/>
    <n v="-11"/>
    <n v="90"/>
    <n v="64"/>
  </r>
  <r>
    <n v="715"/>
    <x v="0"/>
    <x v="7"/>
    <s v="Leaves"/>
    <s v="Herbal Tea"/>
    <s v="Wisconsin"/>
    <s v="Central"/>
    <s v="Decaf"/>
    <n v="80"/>
    <n v="150"/>
    <n v="20"/>
    <n v="70"/>
    <n v="180"/>
    <n v="43"/>
  </r>
  <r>
    <n v="563"/>
    <x v="0"/>
    <x v="8"/>
    <s v="Leaves"/>
    <s v="Herbal Tea"/>
    <s v="Iowa"/>
    <s v="Central"/>
    <s v="Decaf"/>
    <n v="90"/>
    <n v="200"/>
    <n v="30"/>
    <n v="86"/>
    <n v="234"/>
    <n v="53"/>
  </r>
  <r>
    <n v="314"/>
    <x v="0"/>
    <x v="8"/>
    <s v="Leaves"/>
    <s v="Herbal Tea"/>
    <s v="Missouri"/>
    <s v="Central"/>
    <s v="Decaf"/>
    <n v="-20"/>
    <n v="80"/>
    <n v="27"/>
    <n v="-39"/>
    <n v="99"/>
    <n v="50"/>
  </r>
  <r>
    <n v="715"/>
    <x v="0"/>
    <x v="8"/>
    <s v="Leaves"/>
    <s v="Herbal Tea"/>
    <s v="Wisconsin"/>
    <s v="Central"/>
    <s v="Decaf"/>
    <n v="50"/>
    <n v="70"/>
    <n v="9"/>
    <n v="28"/>
    <n v="81"/>
    <n v="20"/>
  </r>
  <r>
    <n v="860"/>
    <x v="0"/>
    <x v="8"/>
    <s v="Leaves"/>
    <s v="Herbal Tea"/>
    <s v="Connecticut"/>
    <s v="East"/>
    <s v="Decaf"/>
    <n v="40"/>
    <n v="140"/>
    <n v="32"/>
    <n v="40"/>
    <n v="190"/>
    <n v="65"/>
  </r>
  <r>
    <n v="603"/>
    <x v="0"/>
    <x v="8"/>
    <s v="Leaves"/>
    <s v="Herbal Tea"/>
    <s v="New Hampshire"/>
    <s v="East"/>
    <s v="Decaf"/>
    <n v="0"/>
    <n v="50"/>
    <n v="12"/>
    <n v="-4"/>
    <n v="76"/>
    <n v="46"/>
  </r>
  <r>
    <n v="475"/>
    <x v="0"/>
    <x v="9"/>
    <s v="Leaves"/>
    <s v="Herbal Tea"/>
    <s v="Connecticut"/>
    <s v="East"/>
    <s v="Decaf"/>
    <n v="50"/>
    <n v="130"/>
    <n v="24"/>
    <n v="47"/>
    <n v="170"/>
    <n v="45"/>
  </r>
  <r>
    <n v="337"/>
    <x v="0"/>
    <x v="7"/>
    <s v="Leaves"/>
    <s v="Herbal Tea"/>
    <s v="Louisiana"/>
    <s v="South"/>
    <s v="Decaf"/>
    <n v="40"/>
    <n v="100"/>
    <n v="16"/>
    <n v="35"/>
    <n v="112"/>
    <n v="28"/>
  </r>
  <r>
    <n v="505"/>
    <x v="0"/>
    <x v="7"/>
    <s v="Leaves"/>
    <s v="Herbal Tea"/>
    <s v="New Mexico"/>
    <s v="South"/>
    <s v="Decaf"/>
    <n v="20"/>
    <n v="40"/>
    <n v="5"/>
    <n v="11"/>
    <n v="45"/>
    <n v="16"/>
  </r>
  <r>
    <n v="918"/>
    <x v="0"/>
    <x v="7"/>
    <s v="Leaves"/>
    <s v="Herbal Tea"/>
    <s v="Oklahoma"/>
    <s v="South"/>
    <s v="Decaf"/>
    <n v="20"/>
    <n v="110"/>
    <n v="20"/>
    <n v="13"/>
    <n v="120"/>
    <n v="53"/>
  </r>
  <r>
    <n v="504"/>
    <x v="0"/>
    <x v="8"/>
    <s v="Leaves"/>
    <s v="Herbal Tea"/>
    <s v="Louisiana"/>
    <s v="South"/>
    <s v="Decaf"/>
    <n v="40"/>
    <n v="180"/>
    <n v="32"/>
    <n v="40"/>
    <n v="190"/>
    <n v="65"/>
  </r>
  <r>
    <n v="505"/>
    <x v="0"/>
    <x v="8"/>
    <s v="Leaves"/>
    <s v="Herbal Tea"/>
    <s v="New Mexico"/>
    <s v="South"/>
    <s v="Decaf"/>
    <n v="20"/>
    <n v="60"/>
    <n v="8"/>
    <n v="4"/>
    <n v="62"/>
    <n v="30"/>
  </r>
  <r>
    <n v="580"/>
    <x v="0"/>
    <x v="8"/>
    <s v="Leaves"/>
    <s v="Herbal Tea"/>
    <s v="Oklahoma"/>
    <s v="South"/>
    <s v="Decaf"/>
    <n v="30"/>
    <n v="180"/>
    <n v="72"/>
    <n v="10"/>
    <n v="190"/>
    <n v="101"/>
  </r>
  <r>
    <n v="702"/>
    <x v="0"/>
    <x v="7"/>
    <s v="Leaves"/>
    <s v="Herbal Tea"/>
    <s v="Nevada"/>
    <s v="West"/>
    <s v="Decaf"/>
    <n v="30"/>
    <n v="220"/>
    <n v="95"/>
    <n v="16"/>
    <n v="250"/>
    <n v="129"/>
  </r>
  <r>
    <n v="971"/>
    <x v="0"/>
    <x v="7"/>
    <s v="Leaves"/>
    <s v="Herbal Tea"/>
    <s v="Oregon"/>
    <s v="West"/>
    <s v="Decaf"/>
    <n v="40"/>
    <n v="70"/>
    <n v="10"/>
    <n v="33"/>
    <n v="90"/>
    <n v="21"/>
  </r>
  <r>
    <n v="801"/>
    <x v="0"/>
    <x v="7"/>
    <s v="Leaves"/>
    <s v="Herbal Tea"/>
    <s v="Utah"/>
    <s v="West"/>
    <s v="Decaf"/>
    <n v="30"/>
    <n v="80"/>
    <n v="12"/>
    <n v="21"/>
    <n v="93"/>
    <n v="34"/>
  </r>
  <r>
    <n v="206"/>
    <x v="0"/>
    <x v="7"/>
    <s v="Leaves"/>
    <s v="Herbal Tea"/>
    <s v="Washington"/>
    <s v="West"/>
    <s v="Decaf"/>
    <n v="120"/>
    <n v="270"/>
    <n v="40"/>
    <n v="115"/>
    <n v="310"/>
    <n v="71"/>
  </r>
  <r>
    <n v="775"/>
    <x v="0"/>
    <x v="8"/>
    <s v="Leaves"/>
    <s v="Herbal Tea"/>
    <s v="Nevada"/>
    <s v="West"/>
    <s v="Decaf"/>
    <n v="120"/>
    <n v="300"/>
    <n v="47"/>
    <n v="111"/>
    <n v="345"/>
    <n v="90"/>
  </r>
  <r>
    <n v="503"/>
    <x v="0"/>
    <x v="8"/>
    <s v="Leaves"/>
    <s v="Herbal Tea"/>
    <s v="Oregon"/>
    <s v="West"/>
    <s v="Decaf"/>
    <n v="30"/>
    <n v="80"/>
    <n v="14"/>
    <n v="29"/>
    <n v="100"/>
    <n v="27"/>
  </r>
  <r>
    <n v="435"/>
    <x v="0"/>
    <x v="8"/>
    <s v="Leaves"/>
    <s v="Herbal Tea"/>
    <s v="Utah"/>
    <s v="West"/>
    <s v="Decaf"/>
    <n v="30"/>
    <n v="100"/>
    <n v="15"/>
    <n v="25"/>
    <n v="120"/>
    <n v="47"/>
  </r>
  <r>
    <n v="360"/>
    <x v="0"/>
    <x v="8"/>
    <s v="Leaves"/>
    <s v="Herbal Tea"/>
    <s v="Washington"/>
    <s v="West"/>
    <s v="Decaf"/>
    <n v="50"/>
    <n v="70"/>
    <n v="9"/>
    <n v="30"/>
    <n v="85"/>
    <n v="21"/>
  </r>
  <r>
    <n v="702"/>
    <x v="0"/>
    <x v="9"/>
    <s v="Leaves"/>
    <s v="Herbal Tea"/>
    <s v="Nevada"/>
    <s v="West"/>
    <s v="Decaf"/>
    <n v="90"/>
    <n v="200"/>
    <n v="30"/>
    <n v="86"/>
    <n v="234"/>
    <n v="53"/>
  </r>
  <r>
    <n v="435"/>
    <x v="0"/>
    <x v="9"/>
    <s v="Leaves"/>
    <s v="Herbal Tea"/>
    <s v="Utah"/>
    <s v="West"/>
    <s v="Decaf"/>
    <n v="-30"/>
    <n v="80"/>
    <n v="27"/>
    <n v="-40"/>
    <n v="99"/>
    <n v="51"/>
  </r>
  <r>
    <n v="712"/>
    <x v="0"/>
    <x v="10"/>
    <s v="Leaves"/>
    <s v="Tea"/>
    <s v="Iowa"/>
    <s v="Central"/>
    <s v="Regular"/>
    <n v="140"/>
    <n v="400"/>
    <n v="63"/>
    <n v="141"/>
    <n v="456"/>
    <n v="87"/>
  </r>
  <r>
    <n v="314"/>
    <x v="0"/>
    <x v="10"/>
    <s v="Leaves"/>
    <s v="Tea"/>
    <s v="Missouri"/>
    <s v="Central"/>
    <s v="Regular"/>
    <n v="10"/>
    <n v="70"/>
    <n v="11"/>
    <n v="9"/>
    <n v="82"/>
    <n v="38"/>
  </r>
  <r>
    <n v="608"/>
    <x v="0"/>
    <x v="10"/>
    <s v="Leaves"/>
    <s v="Tea"/>
    <s v="Wisconsin"/>
    <s v="Central"/>
    <s v="Regular"/>
    <n v="50"/>
    <n v="130"/>
    <n v="19"/>
    <n v="47"/>
    <n v="150"/>
    <n v="42"/>
  </r>
  <r>
    <n v="319"/>
    <x v="0"/>
    <x v="11"/>
    <s v="Leaves"/>
    <s v="Tea"/>
    <s v="Iowa"/>
    <s v="Central"/>
    <s v="Regular"/>
    <n v="160"/>
    <n v="480"/>
    <n v="93"/>
    <n v="175"/>
    <n v="546"/>
    <n v="126"/>
  </r>
  <r>
    <n v="573"/>
    <x v="0"/>
    <x v="11"/>
    <s v="Leaves"/>
    <s v="Tea"/>
    <s v="Missouri"/>
    <s v="Central"/>
    <s v="Regular"/>
    <n v="-10"/>
    <n v="50"/>
    <n v="11"/>
    <n v="-9"/>
    <n v="65"/>
    <n v="45"/>
  </r>
  <r>
    <n v="262"/>
    <x v="0"/>
    <x v="11"/>
    <s v="Leaves"/>
    <s v="Tea"/>
    <s v="Wisconsin"/>
    <s v="Central"/>
    <s v="Regular"/>
    <n v="10"/>
    <n v="150"/>
    <n v="68"/>
    <n v="7"/>
    <n v="180"/>
    <n v="98"/>
  </r>
  <r>
    <n v="417"/>
    <x v="0"/>
    <x v="12"/>
    <s v="Leaves"/>
    <s v="Tea"/>
    <s v="Missouri"/>
    <s v="Central"/>
    <s v="Regular"/>
    <n v="0"/>
    <n v="60"/>
    <n v="12"/>
    <n v="-4"/>
    <n v="76"/>
    <n v="46"/>
  </r>
  <r>
    <n v="475"/>
    <x v="0"/>
    <x v="10"/>
    <s v="Leaves"/>
    <s v="Tea"/>
    <s v="Connecticut"/>
    <s v="East"/>
    <s v="Regular"/>
    <n v="60"/>
    <n v="130"/>
    <n v="14"/>
    <n v="47"/>
    <n v="123"/>
    <n v="26"/>
  </r>
  <r>
    <n v="603"/>
    <x v="0"/>
    <x v="10"/>
    <s v="Leaves"/>
    <s v="Tea"/>
    <s v="New Hampshire"/>
    <s v="East"/>
    <s v="Regular"/>
    <n v="20"/>
    <n v="40"/>
    <n v="5"/>
    <n v="10"/>
    <n v="45"/>
    <n v="17"/>
  </r>
  <r>
    <n v="475"/>
    <x v="0"/>
    <x v="12"/>
    <s v="Leaves"/>
    <s v="Tea"/>
    <s v="Connecticut"/>
    <s v="East"/>
    <s v="Regular"/>
    <n v="40"/>
    <n v="100"/>
    <n v="10"/>
    <n v="35"/>
    <n v="94"/>
    <n v="21"/>
  </r>
  <r>
    <n v="603"/>
    <x v="0"/>
    <x v="12"/>
    <s v="Leaves"/>
    <s v="Tea"/>
    <s v="New Hampshire"/>
    <s v="East"/>
    <s v="Regular"/>
    <n v="20"/>
    <n v="40"/>
    <n v="4"/>
    <n v="11"/>
    <n v="43"/>
    <n v="15"/>
  </r>
  <r>
    <n v="775"/>
    <x v="0"/>
    <x v="10"/>
    <s v="Leaves"/>
    <s v="Tea"/>
    <s v="Nevada"/>
    <s v="West"/>
    <s v="Regular"/>
    <n v="150"/>
    <n v="370"/>
    <n v="77"/>
    <n v="203"/>
    <n v="546"/>
    <n v="109"/>
  </r>
  <r>
    <n v="971"/>
    <x v="0"/>
    <x v="10"/>
    <s v="Leaves"/>
    <s v="Tea"/>
    <s v="Oregon"/>
    <s v="West"/>
    <s v="Regular"/>
    <n v="30"/>
    <n v="50"/>
    <n v="8"/>
    <n v="28"/>
    <n v="80"/>
    <n v="20"/>
  </r>
  <r>
    <n v="435"/>
    <x v="0"/>
    <x v="10"/>
    <s v="Leaves"/>
    <s v="Tea"/>
    <s v="Utah"/>
    <s v="West"/>
    <s v="Regular"/>
    <n v="0"/>
    <n v="60"/>
    <n v="34"/>
    <n v="-10"/>
    <n v="90"/>
    <n v="63"/>
  </r>
  <r>
    <n v="360"/>
    <x v="0"/>
    <x v="10"/>
    <s v="Leaves"/>
    <s v="Tea"/>
    <s v="Washington"/>
    <s v="West"/>
    <s v="Regular"/>
    <n v="50"/>
    <n v="120"/>
    <n v="20"/>
    <n v="70"/>
    <n v="180"/>
    <n v="43"/>
  </r>
  <r>
    <n v="775"/>
    <x v="0"/>
    <x v="11"/>
    <s v="Leaves"/>
    <s v="Tea"/>
    <s v="Nevada"/>
    <s v="West"/>
    <s v="Regular"/>
    <n v="100"/>
    <n v="310"/>
    <n v="63"/>
    <n v="141"/>
    <n v="456"/>
    <n v="87"/>
  </r>
  <r>
    <n v="503"/>
    <x v="0"/>
    <x v="11"/>
    <s v="Leaves"/>
    <s v="Tea"/>
    <s v="Oregon"/>
    <s v="West"/>
    <s v="Regular"/>
    <n v="60"/>
    <n v="140"/>
    <n v="27"/>
    <n v="68"/>
    <n v="210"/>
    <n v="58"/>
  </r>
  <r>
    <n v="435"/>
    <x v="0"/>
    <x v="11"/>
    <s v="Leaves"/>
    <s v="Tea"/>
    <s v="Utah"/>
    <s v="West"/>
    <s v="Regular"/>
    <n v="10"/>
    <n v="50"/>
    <n v="11"/>
    <n v="9"/>
    <n v="82"/>
    <n v="38"/>
  </r>
  <r>
    <n v="253"/>
    <x v="0"/>
    <x v="11"/>
    <s v="Leaves"/>
    <s v="Tea"/>
    <s v="Washington"/>
    <s v="West"/>
    <s v="Regular"/>
    <n v="40"/>
    <n v="100"/>
    <n v="19"/>
    <n v="48"/>
    <n v="150"/>
    <n v="41"/>
  </r>
  <r>
    <n v="702"/>
    <x v="0"/>
    <x v="12"/>
    <s v="Leaves"/>
    <s v="Tea"/>
    <s v="Nevada"/>
    <s v="West"/>
    <s v="Regular"/>
    <n v="-240"/>
    <n v="0"/>
    <n v="93"/>
    <n v="345"/>
    <n v="17"/>
    <n v="126"/>
  </r>
  <r>
    <n v="541"/>
    <x v="0"/>
    <x v="12"/>
    <s v="Leaves"/>
    <s v="Tea"/>
    <s v="Oregon"/>
    <s v="West"/>
    <s v="Regular"/>
    <n v="50"/>
    <n v="130"/>
    <n v="26"/>
    <n v="67"/>
    <n v="200"/>
    <n v="49"/>
  </r>
  <r>
    <n v="435"/>
    <x v="0"/>
    <x v="12"/>
    <s v="Leaves"/>
    <s v="Tea"/>
    <s v="Utah"/>
    <s v="West"/>
    <s v="Regular"/>
    <n v="10"/>
    <n v="40"/>
    <n v="11"/>
    <n v="-9"/>
    <n v="65"/>
    <n v="45"/>
  </r>
  <r>
    <n v="360"/>
    <x v="0"/>
    <x v="12"/>
    <s v="Leaves"/>
    <s v="Tea"/>
    <s v="Washington"/>
    <s v="West"/>
    <s v="Regular"/>
    <n v="20"/>
    <n v="120"/>
    <n v="68"/>
    <n v="8"/>
    <n v="180"/>
    <n v="97"/>
  </r>
  <r>
    <n v="719"/>
    <x v="1"/>
    <x v="0"/>
    <s v="Beans"/>
    <s v="Coffee"/>
    <s v="Colorado"/>
    <s v="Central"/>
    <s v="Decaf"/>
    <n v="110"/>
    <n v="240"/>
    <n v="26"/>
    <n v="99"/>
    <n v="232"/>
    <n v="38"/>
  </r>
  <r>
    <n v="847"/>
    <x v="1"/>
    <x v="0"/>
    <s v="Beans"/>
    <s v="Coffee"/>
    <s v="Illinois"/>
    <s v="Central"/>
    <s v="Decaf"/>
    <n v="100"/>
    <n v="260"/>
    <n v="33"/>
    <n v="95"/>
    <n v="254"/>
    <n v="55"/>
  </r>
  <r>
    <n v="614"/>
    <x v="1"/>
    <x v="0"/>
    <s v="Beans"/>
    <s v="Coffee"/>
    <s v="Ohio"/>
    <s v="Central"/>
    <s v="Decaf"/>
    <n v="20"/>
    <n v="130"/>
    <n v="49"/>
    <n v="-3"/>
    <n v="129"/>
    <n v="78"/>
  </r>
  <r>
    <n v="305"/>
    <x v="1"/>
    <x v="0"/>
    <s v="Beans"/>
    <s v="Coffee"/>
    <s v="Florida"/>
    <s v="East"/>
    <s v="Decaf"/>
    <n v="70"/>
    <n v="190"/>
    <n v="26"/>
    <n v="71"/>
    <n v="206"/>
    <n v="49"/>
  </r>
  <r>
    <n v="432"/>
    <x v="1"/>
    <x v="0"/>
    <s v="Beans"/>
    <s v="Coffee"/>
    <s v="Texas"/>
    <s v="South"/>
    <s v="Decaf"/>
    <n v="100"/>
    <n v="230"/>
    <n v="27"/>
    <n v="68"/>
    <n v="190"/>
    <n v="39"/>
  </r>
  <r>
    <n v="818"/>
    <x v="1"/>
    <x v="0"/>
    <s v="Beans"/>
    <s v="Coffee"/>
    <s v="California"/>
    <s v="West"/>
    <s v="Decaf"/>
    <n v="-110"/>
    <n v="150"/>
    <n v="48"/>
    <n v="-117"/>
    <n v="122"/>
    <n v="91"/>
  </r>
  <r>
    <n v="303"/>
    <x v="1"/>
    <x v="1"/>
    <s v="Beans"/>
    <s v="Espresso"/>
    <s v="Colorado"/>
    <s v="Central"/>
    <s v="Decaf"/>
    <n v="90"/>
    <n v="220"/>
    <n v="24"/>
    <n v="59"/>
    <n v="189"/>
    <n v="55"/>
  </r>
  <r>
    <n v="312"/>
    <x v="1"/>
    <x v="1"/>
    <s v="Beans"/>
    <s v="Espresso"/>
    <s v="Illinois"/>
    <s v="Central"/>
    <s v="Decaf"/>
    <n v="180"/>
    <n v="530"/>
    <n v="63"/>
    <n v="142"/>
    <n v="457"/>
    <n v="87"/>
  </r>
  <r>
    <n v="614"/>
    <x v="1"/>
    <x v="1"/>
    <s v="Beans"/>
    <s v="Espresso"/>
    <s v="Ohio"/>
    <s v="Central"/>
    <s v="Decaf"/>
    <n v="40"/>
    <n v="150"/>
    <n v="22"/>
    <n v="18"/>
    <n v="132"/>
    <n v="55"/>
  </r>
  <r>
    <n v="407"/>
    <x v="1"/>
    <x v="1"/>
    <s v="Beans"/>
    <s v="Espresso"/>
    <s v="Florida"/>
    <s v="East"/>
    <s v="Decaf"/>
    <n v="60"/>
    <n v="170"/>
    <n v="25"/>
    <n v="51"/>
    <n v="180"/>
    <n v="52"/>
  </r>
  <r>
    <n v="956"/>
    <x v="1"/>
    <x v="1"/>
    <s v="Beans"/>
    <s v="Espresso"/>
    <s v="Texas"/>
    <s v="South"/>
    <s v="Decaf"/>
    <n v="90"/>
    <n v="160"/>
    <n v="21"/>
    <n v="80"/>
    <n v="189"/>
    <n v="32"/>
  </r>
  <r>
    <n v="951"/>
    <x v="1"/>
    <x v="1"/>
    <s v="Beans"/>
    <s v="Espresso"/>
    <s v="California"/>
    <s v="West"/>
    <s v="Decaf"/>
    <n v="200"/>
    <n v="520"/>
    <n v="77"/>
    <n v="202"/>
    <n v="545"/>
    <n v="109"/>
  </r>
  <r>
    <n v="303"/>
    <x v="1"/>
    <x v="2"/>
    <s v="Beans"/>
    <s v="Coffee"/>
    <s v="Colorado"/>
    <s v="Central"/>
    <s v="Regular"/>
    <n v="120"/>
    <n v="250"/>
    <n v="27"/>
    <n v="105"/>
    <n v="243"/>
    <n v="39"/>
  </r>
  <r>
    <n v="937"/>
    <x v="1"/>
    <x v="2"/>
    <s v="Beans"/>
    <s v="Coffee"/>
    <s v="Ohio"/>
    <s v="Central"/>
    <s v="Regular"/>
    <n v="50"/>
    <n v="140"/>
    <n v="19"/>
    <n v="33"/>
    <n v="140"/>
    <n v="47"/>
  </r>
  <r>
    <n v="720"/>
    <x v="1"/>
    <x v="3"/>
    <s v="Beans"/>
    <s v="Coffee"/>
    <s v="Colorado"/>
    <s v="Central"/>
    <s v="Regular"/>
    <n v="80"/>
    <n v="190"/>
    <n v="27"/>
    <n v="68"/>
    <n v="190"/>
    <n v="39"/>
  </r>
  <r>
    <n v="312"/>
    <x v="1"/>
    <x v="3"/>
    <s v="Beans"/>
    <s v="Coffee"/>
    <s v="Illinois"/>
    <s v="Central"/>
    <s v="Regular"/>
    <n v="140"/>
    <n v="370"/>
    <n v="48"/>
    <n v="115"/>
    <n v="354"/>
    <n v="91"/>
  </r>
  <r>
    <n v="513"/>
    <x v="1"/>
    <x v="3"/>
    <s v="Beans"/>
    <s v="Coffee"/>
    <s v="Ohio"/>
    <s v="Central"/>
    <s v="Regular"/>
    <n v="50"/>
    <n v="130"/>
    <n v="16"/>
    <n v="38"/>
    <n v="128"/>
    <n v="38"/>
  </r>
  <r>
    <n v="754"/>
    <x v="1"/>
    <x v="3"/>
    <s v="Beans"/>
    <s v="Coffee"/>
    <s v="Florida"/>
    <s v="East"/>
    <s v="Regular"/>
    <n v="80"/>
    <n v="190"/>
    <n v="26"/>
    <n v="63"/>
    <n v="200"/>
    <n v="57"/>
  </r>
  <r>
    <n v="774"/>
    <x v="1"/>
    <x v="3"/>
    <s v="Beans"/>
    <s v="Coffee"/>
    <s v="Massachusetts"/>
    <s v="East"/>
    <s v="Regular"/>
    <n v="330"/>
    <n v="440"/>
    <n v="24"/>
    <n v="340"/>
    <n v="470"/>
    <n v="55"/>
  </r>
  <r>
    <n v="917"/>
    <x v="1"/>
    <x v="3"/>
    <s v="Beans"/>
    <s v="Coffee"/>
    <s v="New York"/>
    <s v="East"/>
    <s v="Regular"/>
    <n v="250"/>
    <n v="610"/>
    <n v="90"/>
    <n v="245"/>
    <n v="645"/>
    <n v="142"/>
  </r>
  <r>
    <n v="972"/>
    <x v="1"/>
    <x v="3"/>
    <s v="Beans"/>
    <s v="Coffee"/>
    <s v="Texas"/>
    <s v="South"/>
    <s v="Regular"/>
    <n v="240"/>
    <n v="580"/>
    <n v="66"/>
    <n v="164"/>
    <n v="465"/>
    <n v="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71F29-14FA-449A-82EF-67112868ED7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7" firstHeaderRow="1" firstDataRow="2" firstDataCol="1"/>
  <pivotFields count="15">
    <pivotField numFmtId="1" showAll="0"/>
    <pivotField numFmtId="14" showAll="0">
      <items count="3">
        <item x="0"/>
        <item x="1"/>
        <item t="default"/>
      </items>
    </pivotField>
    <pivotField axis="axisCol" showAll="0">
      <items count="14">
        <item x="2"/>
        <item x="6"/>
        <item x="4"/>
        <item x="7"/>
        <item x="3"/>
        <item x="10"/>
        <item x="1"/>
        <item x="0"/>
        <item x="11"/>
        <item x="12"/>
        <item x="8"/>
        <item x="9"/>
        <item x="5"/>
        <item t="default"/>
      </items>
    </pivotField>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axis="axisRow" showAll="0">
      <items count="15">
        <item x="0"/>
        <item x="1"/>
        <item x="2"/>
        <item x="3"/>
        <item x="4"/>
        <item x="5"/>
        <item x="6"/>
        <item x="7"/>
        <item x="8"/>
        <item x="9"/>
        <item x="10"/>
        <item x="11"/>
        <item x="12"/>
        <item x="13"/>
        <item t="default"/>
      </items>
    </pivotField>
  </pivotFields>
  <rowFields count="1">
    <field x="14"/>
  </rowFields>
  <rowItems count="3">
    <i>
      <x v="1"/>
    </i>
    <i>
      <x v="2"/>
    </i>
    <i t="grand">
      <x/>
    </i>
  </rowItems>
  <colFields count="1">
    <field x="2"/>
  </colFields>
  <colItems count="14">
    <i>
      <x/>
    </i>
    <i>
      <x v="1"/>
    </i>
    <i>
      <x v="2"/>
    </i>
    <i>
      <x v="3"/>
    </i>
    <i>
      <x v="4"/>
    </i>
    <i>
      <x v="5"/>
    </i>
    <i>
      <x v="6"/>
    </i>
    <i>
      <x v="7"/>
    </i>
    <i>
      <x v="8"/>
    </i>
    <i>
      <x v="9"/>
    </i>
    <i>
      <x v="10"/>
    </i>
    <i>
      <x v="11"/>
    </i>
    <i>
      <x v="12"/>
    </i>
    <i t="grand">
      <x/>
    </i>
  </colItems>
  <dataFields count="1">
    <dataField name="Sum of Sales" fld="12" baseField="14"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C72DE-F658-4E16-9E14-97800F644F2E}" name="PivotTable_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9" firstHeaderRow="0" firstDataRow="1" firstDataCol="1"/>
  <pivotFields count="20">
    <pivotField numFmtId="1" subtotalTop="0" showAll="0" insertBlankRow="1"/>
    <pivotField numFmtId="14" subtotalTop="0" showAll="0" insertBlankRow="1">
      <items count="3">
        <item x="0"/>
        <item x="1"/>
        <item t="default"/>
      </items>
    </pivotField>
    <pivotField axis="axisRow" subtotalTop="0" showAll="0" insertBlankRow="1">
      <items count="14">
        <item x="2"/>
        <item x="6"/>
        <item x="4"/>
        <item x="7"/>
        <item x="3"/>
        <item x="10"/>
        <item x="1"/>
        <item x="0"/>
        <item x="11"/>
        <item x="12"/>
        <item x="8"/>
        <item x="9"/>
        <item x="5"/>
        <item t="default"/>
      </items>
    </pivotField>
    <pivotField subtotalTop="0" showAll="0" insertBlankRow="1"/>
    <pivotField axis="axisRow" subtotalTop="0" showAll="0" insertBlankRow="1">
      <items count="5">
        <item x="0"/>
        <item x="1"/>
        <item x="2"/>
        <item x="3"/>
        <item t="default"/>
      </items>
    </pivotField>
    <pivotField subtotalTop="0" showAll="0" insertBlankRow="1"/>
    <pivotField subtotalTop="0" showAll="0" insertBlankRow="1">
      <items count="5">
        <item x="0"/>
        <item x="1"/>
        <item x="2"/>
        <item x="3"/>
        <item t="default"/>
      </items>
    </pivotField>
    <pivotField subtotalTop="0" showAll="0" insertBlankRow="1"/>
    <pivotField dataField="1" numFmtId="164" subtotalTop="0" showAll="0" insertBlankRow="1"/>
    <pivotField dataField="1" numFmtId="164" subtotalTop="0" showAll="0" insertBlankRow="1"/>
    <pivotField numFmtId="164" subtotalTop="0" showAll="0" insertBlankRow="1"/>
    <pivotField dataField="1" numFmtId="164" subtotalTop="0" showAll="0" insertBlankRow="1"/>
    <pivotField dataField="1" numFmtId="164" subtotalTop="0" showAll="0" insertBlankRow="1"/>
    <pivotField numFmtId="164" subtotalTop="0" showAll="0" insertBlankRow="1"/>
    <pivotField subtotalTop="0" showAll="0" insertBlankRow="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nsertBlankRow="1">
      <items count="15">
        <item x="0"/>
        <item x="1"/>
        <item x="2"/>
        <item x="3"/>
        <item x="4"/>
        <item x="5"/>
        <item x="6"/>
        <item x="7"/>
        <item x="8"/>
        <item x="9"/>
        <item x="10"/>
        <item x="11"/>
        <item x="12"/>
        <item x="13"/>
        <item t="default"/>
      </items>
    </pivotField>
    <pivotField subtotalTop="0" showAll="0" insertBlankRow="1">
      <items count="7">
        <item x="0"/>
        <item x="1"/>
        <item x="2"/>
        <item x="3"/>
        <item x="4"/>
        <item x="5"/>
        <item t="default"/>
      </items>
    </pivotField>
    <pivotField subtotalTop="0" showAll="0" insertBlankRow="1">
      <items count="4">
        <item x="0"/>
        <item x="1"/>
        <item x="2"/>
        <item t="default"/>
      </items>
    </pivotField>
    <pivotField subtotalTop="0" dragToRow="0" dragToCol="0" dragToPage="0" showAll="0" insertBlankRow="1" defaultSubtotal="0"/>
    <pivotField subtotalTop="0" dragToRow="0" dragToCol="0" dragToPage="0" showAll="0" insertBlankRow="1" defaultSubtotal="0"/>
  </pivotFields>
  <rowFields count="2">
    <field x="4"/>
    <field x="2"/>
  </rowFields>
  <rowItems count="26">
    <i>
      <x/>
    </i>
    <i r="1">
      <x/>
    </i>
    <i r="1">
      <x v="4"/>
    </i>
    <i r="1">
      <x v="7"/>
    </i>
    <i t="default">
      <x/>
    </i>
    <i t="blank">
      <x/>
    </i>
    <i>
      <x v="1"/>
    </i>
    <i r="1">
      <x v="1"/>
    </i>
    <i r="1">
      <x v="2"/>
    </i>
    <i r="1">
      <x v="6"/>
    </i>
    <i r="1">
      <x v="12"/>
    </i>
    <i t="default">
      <x v="1"/>
    </i>
    <i t="blank">
      <x v="1"/>
    </i>
    <i>
      <x v="2"/>
    </i>
    <i r="1">
      <x v="3"/>
    </i>
    <i r="1">
      <x v="10"/>
    </i>
    <i r="1">
      <x v="11"/>
    </i>
    <i t="default">
      <x v="2"/>
    </i>
    <i t="blank">
      <x v="2"/>
    </i>
    <i>
      <x v="3"/>
    </i>
    <i r="1">
      <x v="5"/>
    </i>
    <i r="1">
      <x v="8"/>
    </i>
    <i r="1">
      <x v="9"/>
    </i>
    <i t="default">
      <x v="3"/>
    </i>
    <i t="blank">
      <x v="3"/>
    </i>
    <i t="grand">
      <x/>
    </i>
  </rowItems>
  <colFields count="1">
    <field x="-2"/>
  </colFields>
  <colItems count="4">
    <i>
      <x/>
    </i>
    <i i="1">
      <x v="1"/>
    </i>
    <i i="2">
      <x v="2"/>
    </i>
    <i i="3">
      <x v="3"/>
    </i>
  </colItems>
  <dataFields count="4">
    <dataField name="Actual Profit" fld="11" baseField="0" baseItem="0" numFmtId="164"/>
    <dataField name="Target Profit" fld="8" baseField="0" baseItem="0" numFmtId="164"/>
    <dataField name="Actual Sales" fld="12" baseField="0" baseItem="0" numFmtId="164"/>
    <dataField name="Target Sales" fld="9" baseField="0" baseItem="0" numFmtId="164"/>
  </dataFields>
  <formats count="4">
    <format dxfId="21">
      <pivotArea dataOnly="0" labelOnly="1" grandCol="1" outline="0" fieldPosition="0"/>
    </format>
    <format dxfId="20">
      <pivotArea field="6" type="button" dataOnly="0" labelOnly="1" outline="0"/>
    </format>
    <format dxfId="19">
      <pivotArea type="topRight" dataOnly="0" labelOnly="1" outline="0" fieldPosition="0"/>
    </format>
    <format dxfId="18">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003169-6E84-4007-BDE5-C1F9BED203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pivotFields count="20">
    <pivotField numFmtId="1" showAll="0"/>
    <pivotField numFmtId="14" showAll="0">
      <items count="3">
        <item x="0"/>
        <item x="1"/>
        <item t="default"/>
      </items>
    </pivotField>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numFmtId="164" showAll="0"/>
    <pivotField numFmtId="164" showAll="0"/>
    <pivotField numFmtId="164" showAll="0"/>
    <pivotField dataField="1"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 dragToRow="0" dragToCol="0" dragToPage="0" showAll="0" defaultSubtotal="0"/>
    <pivotField dragToRow="0" dragToCol="0" dragToPage="0"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4">
    <i>
      <x/>
    </i>
    <i i="1">
      <x v="1"/>
    </i>
    <i i="2">
      <x v="2"/>
    </i>
    <i i="3">
      <x v="3"/>
    </i>
  </colItems>
  <dataFields count="4">
    <dataField name="Sum of Profit" fld="11" baseField="0" baseItem="0" numFmtId="164"/>
    <dataField name="Average of Profit" fld="11" subtotal="average" baseField="2" baseItem="0" numFmtId="164"/>
    <dataField name="Max of Profit" fld="11" subtotal="max" baseField="2" baseItem="0" numFmtId="164"/>
    <dataField name="Min of Profit" fld="11" subtotal="min"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038DAC-99AA-40EB-9D75-8CAC9DA70A2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5">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2B45DC-69A2-4341-88A4-F6745BBBABFA}" name="calculative_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pivotFields count="20">
    <pivotField numFmtId="1" showAll="0"/>
    <pivotField numFmtId="14" showAll="0">
      <items count="3">
        <item x="0"/>
        <item x="1"/>
        <item t="default"/>
      </items>
    </pivotField>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dataField="1" numFmtId="164" showAll="0"/>
    <pivotField numFmtId="164" showAll="0"/>
    <pivotField numFmtId="164" showAll="0"/>
    <pivotField dataField="1" numFmtId="164" showAll="0"/>
    <pivotField numFmtId="164" showAll="0"/>
    <pivotField numFmtId="164" showAll="0"/>
    <pivotField showAll="0" defaultSubtotal="0"/>
    <pivotField showAll="0" defaultSubtotal="0"/>
    <pivotField showAll="0" defaultSubtotal="0"/>
    <pivotField showAll="0" defaultSubtotal="0">
      <items count="3">
        <item x="0"/>
        <item x="1"/>
        <item x="2"/>
      </items>
    </pivotField>
    <pivotField dataField="1" dragToRow="0" dragToCol="0" dragToPage="0" showAll="0" defaultSubtotal="0"/>
    <pivotField dataField="1" dragToRow="0" dragToCol="0" dragToPage="0"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4">
    <i>
      <x/>
    </i>
    <i i="1">
      <x v="1"/>
    </i>
    <i i="2">
      <x v="2"/>
    </i>
    <i i="3">
      <x v="3"/>
    </i>
  </colItems>
  <dataFields count="4">
    <dataField name="Actual Sale" fld="11" baseField="2" baseItem="0" numFmtId="164"/>
    <dataField name="Target Sale" fld="8" baseField="2" baseItem="0" numFmtId="164"/>
    <dataField name="Sum of Difference in Sales" fld="18" baseField="0" baseItem="0" numFmtId="164"/>
    <dataField name="Sum of Percentage" fld="19" baseField="0" baseItem="0" numFmtId="164"/>
  </dataFields>
  <formats count="2">
    <format dxfId="17">
      <pivotArea type="all" dataOnly="0" outline="0" fieldPosition="0"/>
    </format>
    <format dxfId="16">
      <pivotArea dataOnly="0" outline="0" fieldPosition="0">
        <references count="1">
          <reference field="4294967294" count="1">
            <x v="3"/>
          </reference>
        </references>
      </pivotArea>
    </format>
  </formats>
  <conditionalFormats count="1">
    <conditionalFormat priority="1">
      <pivotAreas count="1">
        <pivotArea outline="0" fieldPosition="0">
          <references count="1">
            <reference field="4294967294" count="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246F5A-8C0B-49E4-9CB8-FE88BA600C99}" name="showdata_a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20">
    <pivotField numFmtId="1" showAll="0"/>
    <pivotField numFmtId="14" showAll="0">
      <items count="3">
        <item x="0"/>
        <item x="1"/>
        <item t="default"/>
      </items>
    </pivotField>
    <pivotField showAll="0"/>
    <pivotField showAll="0"/>
    <pivotField axis="axisRow" showAll="0">
      <items count="5">
        <item x="0"/>
        <item x="1"/>
        <item x="2"/>
        <item x="3"/>
        <item t="default"/>
      </items>
    </pivotField>
    <pivotField showAll="0"/>
    <pivotField axis="axisCol" showAll="0">
      <items count="5">
        <item x="0"/>
        <item x="1"/>
        <item x="2"/>
        <item x="3"/>
        <item t="default"/>
      </items>
    </pivotField>
    <pivotField showAll="0"/>
    <pivotField numFmtId="164" showAll="0"/>
    <pivotField numFmtId="164" showAll="0"/>
    <pivotField numFmtId="164" showAll="0"/>
    <pivotField numFmtId="164" showAll="0"/>
    <pivotField dataField="1" numFmtId="164" showAll="0"/>
    <pivotField numFmtId="164" showAll="0"/>
    <pivotField showAll="0" defaultSubtotal="0"/>
    <pivotField showAll="0" defaultSubtotal="0"/>
    <pivotField showAll="0" defaultSubtotal="0"/>
    <pivotField showAll="0" defaultSubtotal="0">
      <items count="3">
        <item x="0"/>
        <item x="1"/>
        <item x="2"/>
      </items>
    </pivotField>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6"/>
  </colFields>
  <colItems count="5">
    <i>
      <x/>
    </i>
    <i>
      <x v="1"/>
    </i>
    <i>
      <x v="2"/>
    </i>
    <i>
      <x v="3"/>
    </i>
    <i t="grand">
      <x/>
    </i>
  </colItems>
  <dataFields count="1">
    <dataField name="Sum of Sales" fld="12" showDataAs="difference" baseField="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9B2054-A61D-47EA-817E-A98FB3504AB2}" name="showdata_as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10" firstHeaderRow="1" firstDataRow="4" firstDataCol="1"/>
  <pivotFields count="20">
    <pivotField numFmtId="1" showAll="0" defaultSubtotal="0"/>
    <pivotField axis="axisCol" numFmtId="14" showAll="0" defaultSubtotal="0">
      <items count="2">
        <item x="0"/>
        <item x="1"/>
      </items>
    </pivotField>
    <pivotField showAll="0" defaultSubtotal="0"/>
    <pivotField showAll="0" defaultSubtotal="0"/>
    <pivotField axis="axisRow" showAll="0" defaultSubtotal="0">
      <items count="4">
        <item x="0"/>
        <item x="1"/>
        <item x="2"/>
        <item x="3"/>
      </items>
    </pivotField>
    <pivotField showAll="0" defaultSubtotal="0"/>
    <pivotField showAll="0" defaultSubtotal="0"/>
    <pivotField showAll="0" defaultSubtotal="0"/>
    <pivotField numFmtId="164" showAll="0" defaultSubtotal="0"/>
    <pivotField numFmtId="164" showAll="0" defaultSubtotal="0"/>
    <pivotField numFmtId="164" showAll="0" defaultSubtotal="0"/>
    <pivotField numFmtId="164" showAll="0" defaultSubtotal="0"/>
    <pivotField dataField="1" numFmtId="164" showAll="0" defaultSubtotal="0"/>
    <pivotField numFmtId="164" showAll="0" defaultSubtota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3">
        <item sd="0" x="0"/>
        <item sd="0" x="1"/>
        <item sd="0" x="2"/>
      </items>
    </pivotField>
    <pivotField dragToRow="0" dragToCol="0" dragToPage="0" showAll="0" defaultSubtotal="0"/>
    <pivotField dragToRow="0" dragToCol="0" dragToPage="0" showAll="0" defaultSubtotal="0"/>
  </pivotFields>
  <rowFields count="1">
    <field x="4"/>
  </rowFields>
  <rowItems count="4">
    <i>
      <x/>
    </i>
    <i>
      <x v="1"/>
    </i>
    <i>
      <x v="2"/>
    </i>
    <i>
      <x v="3"/>
    </i>
  </rowItems>
  <colFields count="3">
    <field x="15"/>
    <field x="14"/>
    <field x="1"/>
  </colFields>
  <colItems count="2">
    <i>
      <x v="1"/>
    </i>
    <i>
      <x v="2"/>
    </i>
  </colItems>
  <dataFields count="1">
    <dataField name="Running Total" fld="12" showDataAs="runTotal"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BC8E69-1574-4085-8FBB-770791330179}" name="data_as_op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8" firstHeaderRow="1" firstDataRow="3" firstDataCol="1"/>
  <pivotFields count="20">
    <pivotField numFmtId="1" showAll="0"/>
    <pivotField axis="axisRow" numFmtId="14" showAll="0">
      <items count="3">
        <item x="0"/>
        <item x="1"/>
        <item t="default"/>
      </items>
    </pivotField>
    <pivotField showAll="0"/>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Row" showAll="0" defaultSubtotal="0">
      <items count="3">
        <item sd="0" x="0"/>
        <item x="1"/>
        <item sd="0" x="2"/>
      </items>
    </pivotField>
    <pivotField dragToRow="0" dragToCol="0" dragToPage="0" showAll="0" defaultSubtotal="0"/>
    <pivotField dragToRow="0" dragToCol="0" dragToPage="0" showAll="0" defaultSubtotal="0"/>
  </pivotFields>
  <rowFields count="4">
    <field x="17"/>
    <field x="15"/>
    <field x="14"/>
    <field x="1"/>
  </rowFields>
  <rowItems count="3">
    <i>
      <x v="1"/>
    </i>
    <i r="1">
      <x v="1"/>
    </i>
    <i r="1">
      <x v="2"/>
    </i>
  </rowItems>
  <colFields count="2">
    <field x="16"/>
    <field x="-2"/>
  </colFields>
  <colItems count="2">
    <i>
      <x v="1"/>
      <x/>
    </i>
    <i r="1" i="1">
      <x v="1"/>
    </i>
  </colItems>
  <dataFields count="2">
    <dataField name="Sum of Sales" fld="12" showDataAs="difference" baseField="15" baseItem="1048828" numFmtId="164"/>
    <dataField name="Sum of Sales2" fld="12" baseField="15" baseItem="1">
      <extLst>
        <ext xmlns:x14="http://schemas.microsoft.com/office/spreadsheetml/2009/9/main" uri="{E15A36E0-9728-4e99-A89B-3F7291B0FE68}">
          <x14:dataField pivotShowAs="rankA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2F6AB4-88BC-4D82-BF3B-FFCF5C69EEAF}" name="filt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55" firstHeaderRow="1" firstDataRow="6" firstDataCol="1"/>
  <pivotFields count="20">
    <pivotField numFmtId="1" showAll="0"/>
    <pivotField axis="axisCol" numFmtId="14" showAll="0">
      <items count="3">
        <item x="0"/>
        <item x="1"/>
        <item t="default"/>
      </items>
    </pivotField>
    <pivotField axis="axisRow" showAll="0">
      <items count="14">
        <item x="2"/>
        <item x="6"/>
        <item x="4"/>
        <item x="7"/>
        <item x="3"/>
        <item x="10"/>
        <item x="1"/>
        <item x="0"/>
        <item x="11"/>
        <item x="12"/>
        <item x="8"/>
        <item x="9"/>
        <item x="5"/>
        <item t="default"/>
      </items>
    </pivotField>
    <pivotField showAll="0"/>
    <pivotField showAll="0">
      <items count="5">
        <item x="0"/>
        <item x="1"/>
        <item x="2"/>
        <item x="3"/>
        <item t="default"/>
      </items>
    </pivotField>
    <pivotField showAll="0"/>
    <pivotField axis="axisRow" showAll="0">
      <items count="5">
        <item x="0"/>
        <item x="1"/>
        <item x="2"/>
        <item x="3"/>
        <item t="default"/>
      </items>
    </pivotField>
    <pivotField showAll="0"/>
    <pivotField numFmtId="164" showAll="0"/>
    <pivotField numFmtId="164" showAll="0"/>
    <pivotField numFmtId="164" showAll="0"/>
    <pivotField numFmtId="164" showAll="0"/>
    <pivotField dataField="1" numFmtId="164" showAll="0"/>
    <pivotField numFmtId="164"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3">
        <item sd="0" x="0"/>
        <item sd="0" x="1"/>
        <item sd="0" x="2"/>
      </items>
    </pivotField>
    <pivotField dragToRow="0" dragToCol="0" dragToPage="0" showAll="0" defaultSubtotal="0"/>
    <pivotField dragToRow="0" dragToCol="0" dragToPage="0" showAll="0" defaultSubtotal="0"/>
  </pivotFields>
  <rowFields count="2">
    <field x="6"/>
    <field x="2"/>
  </rowFields>
  <rowItems count="47">
    <i>
      <x/>
    </i>
    <i r="1">
      <x/>
    </i>
    <i r="1">
      <x v="2"/>
    </i>
    <i r="1">
      <x v="3"/>
    </i>
    <i r="1">
      <x v="4"/>
    </i>
    <i r="1">
      <x v="5"/>
    </i>
    <i r="1">
      <x v="6"/>
    </i>
    <i r="1">
      <x v="7"/>
    </i>
    <i r="1">
      <x v="8"/>
    </i>
    <i r="1">
      <x v="9"/>
    </i>
    <i r="1">
      <x v="10"/>
    </i>
    <i r="1">
      <x v="11"/>
    </i>
    <i>
      <x v="1"/>
    </i>
    <i r="1">
      <x/>
    </i>
    <i r="1">
      <x v="2"/>
    </i>
    <i r="1">
      <x v="3"/>
    </i>
    <i r="1">
      <x v="4"/>
    </i>
    <i r="1">
      <x v="5"/>
    </i>
    <i r="1">
      <x v="6"/>
    </i>
    <i r="1">
      <x v="7"/>
    </i>
    <i r="1">
      <x v="8"/>
    </i>
    <i r="1">
      <x v="9"/>
    </i>
    <i r="1">
      <x v="10"/>
    </i>
    <i r="1">
      <x v="11"/>
    </i>
    <i r="1">
      <x v="12"/>
    </i>
    <i>
      <x v="2"/>
    </i>
    <i r="1">
      <x v="1"/>
    </i>
    <i r="1">
      <x v="2"/>
    </i>
    <i r="1">
      <x v="3"/>
    </i>
    <i r="1">
      <x v="4"/>
    </i>
    <i r="1">
      <x v="6"/>
    </i>
    <i r="1">
      <x v="7"/>
    </i>
    <i r="1">
      <x v="10"/>
    </i>
    <i>
      <x v="3"/>
    </i>
    <i r="1">
      <x/>
    </i>
    <i r="1">
      <x v="1"/>
    </i>
    <i r="1">
      <x v="2"/>
    </i>
    <i r="1">
      <x v="3"/>
    </i>
    <i r="1">
      <x v="4"/>
    </i>
    <i r="1">
      <x v="5"/>
    </i>
    <i r="1">
      <x v="6"/>
    </i>
    <i r="1">
      <x v="7"/>
    </i>
    <i r="1">
      <x v="8"/>
    </i>
    <i r="1">
      <x v="9"/>
    </i>
    <i r="1">
      <x v="10"/>
    </i>
    <i r="1">
      <x v="11"/>
    </i>
    <i t="grand">
      <x/>
    </i>
  </rowItems>
  <colFields count="5">
    <field x="17"/>
    <field x="16"/>
    <field x="15"/>
    <field x="14"/>
    <field x="1"/>
  </colFields>
  <colItems count="2">
    <i>
      <x v="1"/>
    </i>
    <i t="grand">
      <x/>
    </i>
  </colItem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6157BA-7667-4553-AD5C-1749662A8CF3}" name="report_conne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20">
    <pivotField numFmtId="1" showAll="0"/>
    <pivotField numFmtId="14" showAll="0">
      <items count="3">
        <item x="0"/>
        <item x="1"/>
        <item t="default"/>
      </items>
    </pivotField>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showAll="0" defaultSubtotal="0"/>
    <pivotField showAll="0" defaultSubtotal="0"/>
    <pivotField showAll="0" defaultSubtotal="0"/>
    <pivotField showAll="0" defaultSubtotal="0">
      <items count="3">
        <item x="0"/>
        <item x="1"/>
        <item x="2"/>
      </items>
    </pivotField>
    <pivotField dragToRow="0" dragToCol="0" dragToPage="0" showAll="0" defaultSubtotal="0"/>
    <pivotField dragToRow="0" dragToCol="0" dragToPage="0" showAll="0" defaultSubtotal="0"/>
  </pivotFields>
  <rowFields count="1">
    <field x="2"/>
  </rowFields>
  <rowItems count="14">
    <i>
      <x/>
    </i>
    <i>
      <x v="1"/>
    </i>
    <i>
      <x v="2"/>
    </i>
    <i>
      <x v="3"/>
    </i>
    <i>
      <x v="4"/>
    </i>
    <i>
      <x v="5"/>
    </i>
    <i>
      <x v="6"/>
    </i>
    <i>
      <x v="7"/>
    </i>
    <i>
      <x v="8"/>
    </i>
    <i>
      <x v="9"/>
    </i>
    <i>
      <x v="10"/>
    </i>
    <i>
      <x v="11"/>
    </i>
    <i>
      <x v="12"/>
    </i>
    <i t="grand">
      <x/>
    </i>
  </rowItems>
  <colItems count="1">
    <i/>
  </colItem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DD9CA14-F02F-4224-9646-EDD300DCE0A7}" sourceName="Product">
  <pivotTables>
    <pivotTable tabId="14" name="filter"/>
    <pivotTable tabId="15" name="report_connection"/>
  </pivotTables>
  <data>
    <tabular pivotCacheId="445786105">
      <items count="13">
        <i x="2" s="1"/>
        <i x="6" s="1"/>
        <i x="4" s="1"/>
        <i x="7" s="1"/>
        <i x="3" s="1"/>
        <i x="10" s="1"/>
        <i x="1" s="1"/>
        <i x="0" s="1"/>
        <i x="11" s="1"/>
        <i x="12" s="1"/>
        <i x="8"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2FC6D178-4BE7-465F-8D29-CC861F77CBBD}" sourceName="Product Type">
  <pivotTables>
    <pivotTable tabId="14" name="filter"/>
  </pivotTables>
  <data>
    <tabular pivotCacheId="44578610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6D96319-CCCE-4ED7-857C-828D07FEE495}" cache="Slicer_Product" caption="Product" style="SlicerStyleLight2" rowHeight="234950"/>
  <slicer name="Product Type" xr10:uid="{38B5204B-DC33-4736-AC0D-DBC46D61334A}" cache="Slicer_Product_Type" caption="Product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2F1241-1529-4D59-8D94-25F01119CBAA}" name="Table_Format" displayName="Table_Format" ref="A1:D14" headerRowDxfId="46" dataDxfId="45">
  <autoFilter ref="A1:D14" xr:uid="{D82F1241-1529-4D59-8D94-25F01119CBAA}"/>
  <tableColumns count="4">
    <tableColumn id="1" xr3:uid="{CD8CFC42-9771-4D54-8F60-31CC634F5C2C}" name="First Name" totalsRowLabel="Total" dataDxfId="44" totalsRowDxfId="43"/>
    <tableColumn id="2" xr3:uid="{C402EC48-19D0-4A8F-BD94-9907B09EA1B0}" name="Last Name" dataDxfId="42" totalsRowDxfId="41"/>
    <tableColumn id="3" xr3:uid="{0E84699C-E582-421F-BD79-B1C520222942}" name="Residing At" dataDxfId="40" totalsRowDxfId="39"/>
    <tableColumn id="4" xr3:uid="{D2EA5BD1-7A94-49D1-84A8-C5FCAA89F004}" name="Residing From" totalsRowFunction="count" dataDxfId="38" totalsRow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CB916B-B910-47C4-A989-C13430D1BAFD}" name="pivottable_feature" displayName="pivottable_feature" ref="A1:N200" totalsRowShown="0" headerRowDxfId="36">
  <autoFilter ref="A1:N200" xr:uid="{C5CB916B-B910-47C4-A989-C13430D1BAFD}"/>
  <tableColumns count="14">
    <tableColumn id="1" xr3:uid="{8DB6DAFE-E6E9-4B41-ACA0-7BF536AF548D}" name="Area Code" dataDxfId="35"/>
    <tableColumn id="2" xr3:uid="{0E0B643D-A323-4E2F-9447-0C8F356E0099}" name="Date" dataDxfId="34"/>
    <tableColumn id="3" xr3:uid="{6F269550-D530-4D2B-8261-551311691F08}" name="Product" dataDxfId="33"/>
    <tableColumn id="4" xr3:uid="{28BE8C4E-EF06-4F7D-ABB5-C6589145397D}" name="Product Line" dataDxfId="32"/>
    <tableColumn id="5" xr3:uid="{97366AE7-288C-4F52-9686-5C19B48B88C4}" name="Product Type" dataDxfId="31"/>
    <tableColumn id="6" xr3:uid="{38345137-6044-4564-9B78-83A84468090C}" name="State" dataDxfId="30"/>
    <tableColumn id="7" xr3:uid="{B9768AA3-9D3C-4BAA-ABBE-2FBF8A5BAD86}" name="Territory" dataDxfId="29"/>
    <tableColumn id="8" xr3:uid="{BD857C2F-841A-4CF6-9B7E-B27DD55DC66A}" name="Type" dataDxfId="28"/>
    <tableColumn id="9" xr3:uid="{B8812EEC-E6CB-4E12-9A22-9DFF7FFF092D}" name="Budget Profit" dataDxfId="27"/>
    <tableColumn id="10" xr3:uid="{E2281DBA-4DCE-478F-95C5-3DF613671B62}" name="Budget Sales" dataDxfId="26"/>
    <tableColumn id="11" xr3:uid="{4381CAF1-7B7D-4CA1-AC6B-B5B2625BA2EE}" name="Marketing" dataDxfId="25"/>
    <tableColumn id="12" xr3:uid="{60058B27-4FFC-40F2-A206-E9DAABEB2680}" name="Profit" dataDxfId="24"/>
    <tableColumn id="13" xr3:uid="{5E39DA49-63BF-44F1-BDD7-B65A788C4F03}" name="Sales" dataDxfId="23"/>
    <tableColumn id="14" xr3:uid="{B8E486DA-D59B-467D-989F-3D7D7AE6D01A}" name="Total Expenses"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67650-B218-4C8F-91A9-40E7CA0FAEDE}" name="pivot_table" displayName="pivot_table" ref="A1:N200" totalsRowShown="0" headerRowDxfId="15" dataDxfId="14">
  <autoFilter ref="A1:N200" xr:uid="{98567650-B218-4C8F-91A9-40E7CA0FAEDE}"/>
  <tableColumns count="14">
    <tableColumn id="1" xr3:uid="{FBCD9EFC-51A4-445D-9B43-C5FF7CA80D95}" name="Area Code" dataDxfId="13"/>
    <tableColumn id="2" xr3:uid="{F579A660-D4FE-4FDF-88EA-455B6D2DAE01}" name="Date" dataDxfId="12"/>
    <tableColumn id="3" xr3:uid="{7AFEEBF3-63B0-42E0-BB6E-42887803BDC7}" name="Product" dataDxfId="11"/>
    <tableColumn id="4" xr3:uid="{D1840084-6475-4FF7-A7AA-D013ED286432}" name="Product Line" dataDxfId="10"/>
    <tableColumn id="5" xr3:uid="{1F586A81-CAD2-4AAC-81D1-1747ABC6189B}" name="Product Type" dataDxfId="9"/>
    <tableColumn id="6" xr3:uid="{92B9F4DB-DC96-4704-8BD6-104D6CC59832}" name="State" dataDxfId="8"/>
    <tableColumn id="7" xr3:uid="{449EE19F-AEDA-404D-9F29-2C1A9F5A782C}" name="Territory" dataDxfId="7"/>
    <tableColumn id="8" xr3:uid="{161A152B-6D75-42CE-A6E9-1EE481A81697}" name="Type" dataDxfId="6"/>
    <tableColumn id="9" xr3:uid="{44FC9D08-5EBE-4379-BE52-FA0F9E5CAAFD}" name="Budget Profit" dataDxfId="5"/>
    <tableColumn id="10" xr3:uid="{6F122F5B-55CD-4456-930C-90B11E9BAA3C}" name="Budget Sales" dataDxfId="4"/>
    <tableColumn id="11" xr3:uid="{6C987C85-76E9-4CF0-BE46-B30D0DE0C822}" name="Marketing" dataDxfId="3"/>
    <tableColumn id="12" xr3:uid="{EF93B385-59F8-4965-8C80-A5C4917273F5}" name="Profit" dataDxfId="2"/>
    <tableColumn id="13" xr3:uid="{28DB177D-D805-4A63-8FBD-A3C6A4EE869C}" name="Sales" dataDxfId="1"/>
    <tableColumn id="14" xr3:uid="{714F21E1-E175-49D1-B902-4E7EB81C6A92}" name="Total Expen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31D1D77-D592-4062-8140-34D036B7F62E}" sourceName="Date">
  <pivotTables>
    <pivotTable tabId="14" name="filter"/>
  </pivotTables>
  <state minimalRefreshVersion="6" lastRefreshVersion="6" pivotCacheId="445786105"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9584EB3-5A7E-4413-8A27-94C53FF99898}" cache="NativeTimeline_Date" caption="Date" level="2" selectionLevel="2"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9.xml"/><Relationship Id="rId4" Type="http://schemas.microsoft.com/office/2011/relationships/timeline" Target="../timelines/timeline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AEAF0-4801-43FF-AB19-1C6111FE91F7}">
  <dimension ref="A1:O14"/>
  <sheetViews>
    <sheetView workbookViewId="0">
      <selection activeCell="C18" sqref="C18"/>
    </sheetView>
  </sheetViews>
  <sheetFormatPr defaultRowHeight="18" x14ac:dyDescent="0.35"/>
  <cols>
    <col min="1" max="1" width="14.44140625" style="1" customWidth="1"/>
    <col min="2" max="2" width="14" style="1" customWidth="1"/>
    <col min="3" max="3" width="26.88671875" style="1" customWidth="1"/>
    <col min="4" max="4" width="18" style="2" customWidth="1"/>
    <col min="5" max="7" width="8.88671875" style="1"/>
    <col min="8" max="8" width="22.21875" style="1" bestFit="1" customWidth="1"/>
    <col min="9" max="9" width="12.21875" style="1" bestFit="1" customWidth="1"/>
    <col min="10" max="10" width="11.88671875" style="1" bestFit="1" customWidth="1"/>
    <col min="11" max="11" width="10" style="1" bestFit="1" customWidth="1"/>
    <col min="12" max="12" width="8.88671875" style="1"/>
    <col min="13" max="13" width="21.33203125" style="1" bestFit="1" customWidth="1"/>
    <col min="14" max="14" width="17.77734375" style="1" bestFit="1" customWidth="1"/>
    <col min="15" max="15" width="18.44140625" style="1" bestFit="1" customWidth="1"/>
    <col min="16" max="16384" width="8.88671875" style="1"/>
  </cols>
  <sheetData>
    <row r="1" spans="1:15" s="4" customFormat="1" x14ac:dyDescent="0.35">
      <c r="A1" s="4" t="s">
        <v>0</v>
      </c>
      <c r="B1" s="4" t="s">
        <v>1</v>
      </c>
      <c r="C1" s="4" t="s">
        <v>2</v>
      </c>
      <c r="D1" s="5" t="s">
        <v>3</v>
      </c>
      <c r="H1" s="4" t="s">
        <v>44</v>
      </c>
      <c r="I1" s="4" t="s">
        <v>0</v>
      </c>
      <c r="J1" s="4" t="s">
        <v>1</v>
      </c>
      <c r="K1" s="4" t="s">
        <v>45</v>
      </c>
      <c r="L1" s="4" t="s">
        <v>46</v>
      </c>
      <c r="M1" s="4" t="s">
        <v>47</v>
      </c>
      <c r="N1" s="4" t="s">
        <v>48</v>
      </c>
      <c r="O1" s="4" t="s">
        <v>49</v>
      </c>
    </row>
    <row r="2" spans="1:15" x14ac:dyDescent="0.35">
      <c r="A2" s="1" t="s">
        <v>4</v>
      </c>
      <c r="B2" s="1" t="s">
        <v>5</v>
      </c>
      <c r="C2" s="1" t="s">
        <v>6</v>
      </c>
      <c r="D2" s="2">
        <v>41580</v>
      </c>
      <c r="H2" s="1" t="str">
        <f>_xlfn.CONCAT(A2,", ",B2)</f>
        <v>Alen, Susan</v>
      </c>
      <c r="I2" s="1" t="str">
        <f>LEFT(H2,L2-K2)</f>
        <v xml:space="preserve">Alen, </v>
      </c>
      <c r="J2" s="1" t="str">
        <f>TRIM(RIGHT(H2,L2-K2))</f>
        <v>Susan</v>
      </c>
      <c r="K2" s="1">
        <f>FIND(",",H2)</f>
        <v>5</v>
      </c>
      <c r="L2" s="1">
        <f>LEN(H2)</f>
        <v>11</v>
      </c>
      <c r="M2" s="1" t="str">
        <f>UPPER(H2)</f>
        <v>ALEN, SUSAN</v>
      </c>
      <c r="N2" s="1" t="str">
        <f>LOWER(H2)</f>
        <v>alen, susan</v>
      </c>
      <c r="O2" s="1" t="str">
        <f>PROPER(H2)</f>
        <v>Alen, Susan</v>
      </c>
    </row>
    <row r="3" spans="1:15" x14ac:dyDescent="0.35">
      <c r="A3" s="1" t="s">
        <v>7</v>
      </c>
      <c r="B3" s="1" t="s">
        <v>8</v>
      </c>
      <c r="C3" s="1" t="s">
        <v>9</v>
      </c>
      <c r="D3" s="2">
        <v>40034</v>
      </c>
      <c r="H3" s="1" t="str">
        <f t="shared" ref="H3:H14" si="0">_xlfn.CONCAT(A3,", ",B3)</f>
        <v>daniel, Cary</v>
      </c>
      <c r="I3" s="1" t="str">
        <f t="shared" ref="I3:I14" si="1">LEFT(H3,K3)</f>
        <v>daniel,</v>
      </c>
      <c r="J3" s="1" t="str">
        <f t="shared" ref="J3:J14" si="2">TRIM(RIGHT(H3,L3-K3))</f>
        <v>Cary</v>
      </c>
      <c r="K3" s="1">
        <f t="shared" ref="K3:K14" si="3">FIND(",",H3)</f>
        <v>7</v>
      </c>
      <c r="L3" s="1">
        <f t="shared" ref="L3:L14" si="4">LEN(H3)</f>
        <v>12</v>
      </c>
      <c r="M3" s="1" t="str">
        <f t="shared" ref="M3:M14" si="5">UPPER(H3)</f>
        <v>DANIEL, CARY</v>
      </c>
      <c r="N3" s="1" t="str">
        <f t="shared" ref="N3:N14" si="6">LOWER(H3)</f>
        <v>daniel, cary</v>
      </c>
      <c r="O3" s="1" t="str">
        <f t="shared" ref="O3:O14" si="7">PROPER(H3)</f>
        <v>Daniel, Cary</v>
      </c>
    </row>
    <row r="4" spans="1:15" x14ac:dyDescent="0.35">
      <c r="A4" s="1" t="s">
        <v>10</v>
      </c>
      <c r="B4" s="1" t="s">
        <v>11</v>
      </c>
      <c r="C4" s="1" t="s">
        <v>12</v>
      </c>
      <c r="D4" s="2">
        <v>40668</v>
      </c>
      <c r="H4" s="1" t="str">
        <f t="shared" si="0"/>
        <v>wade, deborah</v>
      </c>
      <c r="I4" s="1" t="str">
        <f t="shared" si="1"/>
        <v>wade,</v>
      </c>
      <c r="J4" s="1" t="str">
        <f t="shared" si="2"/>
        <v>deborah</v>
      </c>
      <c r="K4" s="1">
        <f t="shared" si="3"/>
        <v>5</v>
      </c>
      <c r="L4" s="1">
        <f t="shared" si="4"/>
        <v>13</v>
      </c>
      <c r="M4" s="1" t="str">
        <f t="shared" si="5"/>
        <v>WADE, DEBORAH</v>
      </c>
      <c r="N4" s="1" t="str">
        <f t="shared" si="6"/>
        <v>wade, deborah</v>
      </c>
      <c r="O4" s="1" t="str">
        <f t="shared" si="7"/>
        <v>Wade, Deborah</v>
      </c>
    </row>
    <row r="5" spans="1:15" x14ac:dyDescent="0.35">
      <c r="A5" s="1" t="s">
        <v>13</v>
      </c>
      <c r="B5" s="1" t="s">
        <v>14</v>
      </c>
      <c r="C5" s="1" t="s">
        <v>15</v>
      </c>
      <c r="D5" s="2">
        <v>42102</v>
      </c>
      <c r="H5" s="1" t="str">
        <f t="shared" si="0"/>
        <v>leo, monica</v>
      </c>
      <c r="I5" s="1" t="str">
        <f t="shared" si="1"/>
        <v>leo,</v>
      </c>
      <c r="J5" s="1" t="str">
        <f t="shared" si="2"/>
        <v>monica</v>
      </c>
      <c r="K5" s="1">
        <f t="shared" si="3"/>
        <v>4</v>
      </c>
      <c r="L5" s="1">
        <f t="shared" si="4"/>
        <v>11</v>
      </c>
      <c r="M5" s="1" t="str">
        <f t="shared" si="5"/>
        <v>LEO, MONICA</v>
      </c>
      <c r="N5" s="1" t="str">
        <f t="shared" si="6"/>
        <v>leo, monica</v>
      </c>
      <c r="O5" s="1" t="str">
        <f t="shared" si="7"/>
        <v>Leo, Monica</v>
      </c>
    </row>
    <row r="6" spans="1:15" x14ac:dyDescent="0.35">
      <c r="A6" s="1" t="s">
        <v>16</v>
      </c>
      <c r="B6" s="1" t="s">
        <v>17</v>
      </c>
      <c r="C6" s="1" t="s">
        <v>18</v>
      </c>
      <c r="D6" s="2">
        <v>39968</v>
      </c>
      <c r="H6" s="1" t="str">
        <f t="shared" si="0"/>
        <v>Jacob, bethney</v>
      </c>
      <c r="I6" s="1" t="str">
        <f t="shared" si="1"/>
        <v>Jacob,</v>
      </c>
      <c r="J6" s="1" t="str">
        <f t="shared" si="2"/>
        <v>bethney</v>
      </c>
      <c r="K6" s="1">
        <f t="shared" si="3"/>
        <v>6</v>
      </c>
      <c r="L6" s="1">
        <f t="shared" si="4"/>
        <v>14</v>
      </c>
      <c r="M6" s="1" t="str">
        <f t="shared" si="5"/>
        <v>JACOB, BETHNEY</v>
      </c>
      <c r="N6" s="1" t="str">
        <f t="shared" si="6"/>
        <v>jacob, bethney</v>
      </c>
      <c r="O6" s="1" t="str">
        <f t="shared" si="7"/>
        <v>Jacob, Bethney</v>
      </c>
    </row>
    <row r="7" spans="1:15" x14ac:dyDescent="0.35">
      <c r="A7" s="1" t="s">
        <v>19</v>
      </c>
      <c r="B7" s="1" t="s">
        <v>20</v>
      </c>
      <c r="C7" s="1" t="s">
        <v>21</v>
      </c>
      <c r="D7" s="2">
        <v>39665</v>
      </c>
      <c r="H7" s="1" t="str">
        <f t="shared" si="0"/>
        <v>Charlie, Kyle</v>
      </c>
      <c r="I7" s="1" t="str">
        <f t="shared" si="1"/>
        <v>Charlie,</v>
      </c>
      <c r="J7" s="1" t="str">
        <f t="shared" si="2"/>
        <v>Kyle</v>
      </c>
      <c r="K7" s="1">
        <f t="shared" si="3"/>
        <v>8</v>
      </c>
      <c r="L7" s="1">
        <f t="shared" si="4"/>
        <v>13</v>
      </c>
      <c r="M7" s="1" t="str">
        <f t="shared" si="5"/>
        <v>CHARLIE, KYLE</v>
      </c>
      <c r="N7" s="1" t="str">
        <f t="shared" si="6"/>
        <v>charlie, kyle</v>
      </c>
      <c r="O7" s="1" t="str">
        <f t="shared" si="7"/>
        <v>Charlie, Kyle</v>
      </c>
    </row>
    <row r="8" spans="1:15" x14ac:dyDescent="0.35">
      <c r="A8" s="1" t="s">
        <v>22</v>
      </c>
      <c r="B8" s="1" t="s">
        <v>23</v>
      </c>
      <c r="C8" s="1" t="s">
        <v>24</v>
      </c>
      <c r="D8" s="2">
        <v>38900</v>
      </c>
      <c r="H8" s="1" t="str">
        <f t="shared" si="0"/>
        <v>Joe, Thomas</v>
      </c>
      <c r="I8" s="1" t="str">
        <f t="shared" si="1"/>
        <v>Joe,</v>
      </c>
      <c r="J8" s="1" t="str">
        <f t="shared" si="2"/>
        <v>Thomas</v>
      </c>
      <c r="K8" s="1">
        <f t="shared" si="3"/>
        <v>4</v>
      </c>
      <c r="L8" s="1">
        <f t="shared" si="4"/>
        <v>11</v>
      </c>
      <c r="M8" s="1" t="str">
        <f t="shared" si="5"/>
        <v>JOE, THOMAS</v>
      </c>
      <c r="N8" s="1" t="str">
        <f t="shared" si="6"/>
        <v>joe, thomas</v>
      </c>
      <c r="O8" s="1" t="str">
        <f t="shared" si="7"/>
        <v>Joe, Thomas</v>
      </c>
    </row>
    <row r="9" spans="1:15" x14ac:dyDescent="0.35">
      <c r="A9" s="1" t="s">
        <v>25</v>
      </c>
      <c r="B9" s="1" t="s">
        <v>26</v>
      </c>
      <c r="C9" s="1" t="s">
        <v>27</v>
      </c>
      <c r="D9" s="2">
        <v>38540</v>
      </c>
      <c r="H9" s="1" t="str">
        <f t="shared" si="0"/>
        <v>George, Reece</v>
      </c>
      <c r="I9" s="1" t="str">
        <f t="shared" si="1"/>
        <v>George,</v>
      </c>
      <c r="J9" s="1" t="str">
        <f t="shared" si="2"/>
        <v>Reece</v>
      </c>
      <c r="K9" s="1">
        <f t="shared" si="3"/>
        <v>7</v>
      </c>
      <c r="L9" s="1">
        <f t="shared" si="4"/>
        <v>13</v>
      </c>
      <c r="M9" s="1" t="str">
        <f t="shared" si="5"/>
        <v>GEORGE, REECE</v>
      </c>
      <c r="N9" s="1" t="str">
        <f t="shared" si="6"/>
        <v>george, reece</v>
      </c>
      <c r="O9" s="1" t="str">
        <f t="shared" si="7"/>
        <v>George, Reece</v>
      </c>
    </row>
    <row r="10" spans="1:15" x14ac:dyDescent="0.35">
      <c r="A10" s="1" t="s">
        <v>28</v>
      </c>
      <c r="B10" s="1" t="s">
        <v>29</v>
      </c>
      <c r="C10" s="1" t="s">
        <v>30</v>
      </c>
      <c r="D10" s="3" t="s">
        <v>42</v>
      </c>
      <c r="H10" s="1" t="str">
        <f t="shared" si="0"/>
        <v>Jcob, Michael</v>
      </c>
      <c r="I10" s="1" t="str">
        <f t="shared" si="1"/>
        <v>Jcob,</v>
      </c>
      <c r="J10" s="1" t="str">
        <f t="shared" si="2"/>
        <v>Michael</v>
      </c>
      <c r="K10" s="1">
        <f t="shared" si="3"/>
        <v>5</v>
      </c>
      <c r="L10" s="1">
        <f t="shared" si="4"/>
        <v>13</v>
      </c>
      <c r="M10" s="1" t="str">
        <f t="shared" si="5"/>
        <v>JCOB, MICHAEL</v>
      </c>
      <c r="N10" s="1" t="str">
        <f t="shared" si="6"/>
        <v>jcob, michael</v>
      </c>
      <c r="O10" s="1" t="str">
        <f t="shared" si="7"/>
        <v>Jcob, Michael</v>
      </c>
    </row>
    <row r="11" spans="1:15" x14ac:dyDescent="0.35">
      <c r="A11" s="1" t="s">
        <v>31</v>
      </c>
      <c r="B11" s="1" t="s">
        <v>32</v>
      </c>
      <c r="C11" s="1" t="s">
        <v>33</v>
      </c>
      <c r="D11" s="2">
        <v>38878</v>
      </c>
      <c r="H11" s="1" t="str">
        <f t="shared" si="0"/>
        <v>william, thomas</v>
      </c>
      <c r="I11" s="1" t="str">
        <f t="shared" si="1"/>
        <v>william,</v>
      </c>
      <c r="J11" s="1" t="str">
        <f t="shared" si="2"/>
        <v>thomas</v>
      </c>
      <c r="K11" s="1">
        <f t="shared" si="3"/>
        <v>8</v>
      </c>
      <c r="L11" s="1">
        <f t="shared" si="4"/>
        <v>15</v>
      </c>
      <c r="M11" s="1" t="str">
        <f t="shared" si="5"/>
        <v>WILLIAM, THOMAS</v>
      </c>
      <c r="N11" s="1" t="str">
        <f t="shared" si="6"/>
        <v>william, thomas</v>
      </c>
      <c r="O11" s="1" t="str">
        <f t="shared" si="7"/>
        <v>William, Thomas</v>
      </c>
    </row>
    <row r="12" spans="1:15" x14ac:dyDescent="0.35">
      <c r="A12" s="1" t="s">
        <v>34</v>
      </c>
      <c r="B12" s="1" t="s">
        <v>35</v>
      </c>
      <c r="C12" s="1" t="s">
        <v>36</v>
      </c>
      <c r="D12" s="3" t="s">
        <v>43</v>
      </c>
      <c r="H12" s="1" t="str">
        <f t="shared" si="0"/>
        <v>Oliver, Jake</v>
      </c>
      <c r="I12" s="1" t="str">
        <f t="shared" si="1"/>
        <v>Oliver,</v>
      </c>
      <c r="J12" s="1" t="str">
        <f t="shared" si="2"/>
        <v>Jake</v>
      </c>
      <c r="K12" s="1">
        <f t="shared" si="3"/>
        <v>7</v>
      </c>
      <c r="L12" s="1">
        <f t="shared" si="4"/>
        <v>12</v>
      </c>
      <c r="M12" s="1" t="str">
        <f t="shared" si="5"/>
        <v>OLIVER, JAKE</v>
      </c>
      <c r="N12" s="1" t="str">
        <f t="shared" si="6"/>
        <v>oliver, jake</v>
      </c>
      <c r="O12" s="1" t="str">
        <f t="shared" si="7"/>
        <v>Oliver, Jake</v>
      </c>
    </row>
    <row r="13" spans="1:15" x14ac:dyDescent="0.35">
      <c r="A13" s="1" t="s">
        <v>37</v>
      </c>
      <c r="B13" s="1" t="s">
        <v>38</v>
      </c>
      <c r="C13" s="1" t="s">
        <v>39</v>
      </c>
      <c r="D13" s="2">
        <v>40002</v>
      </c>
      <c r="H13" s="1" t="str">
        <f t="shared" si="0"/>
        <v>Ethan, david</v>
      </c>
      <c r="I13" s="1" t="str">
        <f t="shared" si="1"/>
        <v>Ethan,</v>
      </c>
      <c r="J13" s="1" t="str">
        <f t="shared" si="2"/>
        <v>david</v>
      </c>
      <c r="K13" s="1">
        <f t="shared" si="3"/>
        <v>6</v>
      </c>
      <c r="L13" s="1">
        <f t="shared" si="4"/>
        <v>12</v>
      </c>
      <c r="M13" s="1" t="str">
        <f t="shared" si="5"/>
        <v>ETHAN, DAVID</v>
      </c>
      <c r="N13" s="1" t="str">
        <f t="shared" si="6"/>
        <v>ethan, david</v>
      </c>
      <c r="O13" s="1" t="str">
        <f t="shared" si="7"/>
        <v>Ethan, David</v>
      </c>
    </row>
    <row r="14" spans="1:15" x14ac:dyDescent="0.35">
      <c r="A14" s="1" t="s">
        <v>29</v>
      </c>
      <c r="B14" s="1" t="s">
        <v>40</v>
      </c>
      <c r="C14" s="1" t="s">
        <v>41</v>
      </c>
      <c r="D14" s="2">
        <v>42888</v>
      </c>
      <c r="H14" s="1" t="str">
        <f t="shared" si="0"/>
        <v>Michael, richard</v>
      </c>
      <c r="I14" s="1" t="str">
        <f t="shared" si="1"/>
        <v>Michael,</v>
      </c>
      <c r="J14" s="1" t="str">
        <f t="shared" si="2"/>
        <v>richard</v>
      </c>
      <c r="K14" s="1">
        <f t="shared" si="3"/>
        <v>8</v>
      </c>
      <c r="L14" s="1">
        <f t="shared" si="4"/>
        <v>16</v>
      </c>
      <c r="M14" s="1" t="str">
        <f t="shared" si="5"/>
        <v>MICHAEL, RICHARD</v>
      </c>
      <c r="N14" s="1" t="str">
        <f t="shared" si="6"/>
        <v>michael, richard</v>
      </c>
      <c r="O14" s="1" t="str">
        <f t="shared" si="7"/>
        <v>Michael, Richard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D09F-E23A-4A91-AE0D-99C776B2AD45}">
  <dimension ref="A3:O25"/>
  <sheetViews>
    <sheetView workbookViewId="0">
      <selection activeCell="C18" sqref="C18"/>
    </sheetView>
  </sheetViews>
  <sheetFormatPr defaultRowHeight="14.4" x14ac:dyDescent="0.3"/>
  <cols>
    <col min="1" max="1" width="12.5546875" bestFit="1" customWidth="1"/>
    <col min="2" max="2" width="15.5546875" bestFit="1" customWidth="1"/>
    <col min="3" max="3" width="26.88671875" customWidth="1"/>
    <col min="4" max="4" width="11.77734375" bestFit="1" customWidth="1"/>
    <col min="5" max="5" width="10.5546875" bestFit="1" customWidth="1"/>
    <col min="6" max="6" width="10.109375" bestFit="1" customWidth="1"/>
    <col min="7" max="7" width="9.44140625" bestFit="1" customWidth="1"/>
    <col min="8" max="8" width="13.5546875" bestFit="1" customWidth="1"/>
    <col min="9" max="9" width="15.77734375" bestFit="1" customWidth="1"/>
    <col min="10" max="10" width="8.44140625" bestFit="1" customWidth="1"/>
    <col min="11" max="11" width="9.44140625" bestFit="1" customWidth="1"/>
    <col min="12" max="13" width="7" bestFit="1" customWidth="1"/>
    <col min="14" max="14" width="15.109375" bestFit="1" customWidth="1"/>
    <col min="15" max="15" width="10.77734375" bestFit="1" customWidth="1"/>
  </cols>
  <sheetData>
    <row r="3" spans="1:15" x14ac:dyDescent="0.3">
      <c r="A3" s="16" t="s">
        <v>111</v>
      </c>
      <c r="B3" s="16" t="s">
        <v>105</v>
      </c>
    </row>
    <row r="4" spans="1:15" x14ac:dyDescent="0.3">
      <c r="A4" s="16" t="s">
        <v>103</v>
      </c>
      <c r="B4" t="s">
        <v>79</v>
      </c>
      <c r="C4" t="s">
        <v>85</v>
      </c>
      <c r="D4" t="s">
        <v>83</v>
      </c>
      <c r="E4" t="s">
        <v>94</v>
      </c>
      <c r="F4" t="s">
        <v>81</v>
      </c>
      <c r="G4" t="s">
        <v>99</v>
      </c>
      <c r="H4" t="s">
        <v>77</v>
      </c>
      <c r="I4" t="s">
        <v>64</v>
      </c>
      <c r="J4" t="s">
        <v>101</v>
      </c>
      <c r="K4" t="s">
        <v>102</v>
      </c>
      <c r="L4" t="s">
        <v>97</v>
      </c>
      <c r="M4" t="s">
        <v>98</v>
      </c>
      <c r="N4" t="s">
        <v>84</v>
      </c>
      <c r="O4" t="s">
        <v>104</v>
      </c>
    </row>
    <row r="5" spans="1:15" x14ac:dyDescent="0.3">
      <c r="A5" s="17" t="s">
        <v>119</v>
      </c>
      <c r="B5" s="20">
        <v>1082</v>
      </c>
      <c r="C5" s="20">
        <v>1478</v>
      </c>
      <c r="D5" s="20">
        <v>3220</v>
      </c>
      <c r="E5" s="20">
        <v>2960</v>
      </c>
      <c r="F5" s="20">
        <v>4860</v>
      </c>
      <c r="G5" s="20">
        <v>2839</v>
      </c>
      <c r="H5" s="20">
        <v>3122</v>
      </c>
      <c r="I5" s="20">
        <v>2606</v>
      </c>
      <c r="J5" s="20">
        <v>2562</v>
      </c>
      <c r="K5" s="20">
        <v>1250</v>
      </c>
      <c r="L5" s="20">
        <v>3517</v>
      </c>
      <c r="M5" s="20">
        <v>1397</v>
      </c>
      <c r="N5" s="20">
        <v>896</v>
      </c>
      <c r="O5" s="20">
        <v>31789</v>
      </c>
    </row>
    <row r="6" spans="1:15" x14ac:dyDescent="0.3">
      <c r="A6" s="17" t="s">
        <v>120</v>
      </c>
      <c r="B6" s="20">
        <v>383</v>
      </c>
      <c r="C6" s="20"/>
      <c r="D6" s="20"/>
      <c r="E6" s="20"/>
      <c r="F6" s="20">
        <v>2452</v>
      </c>
      <c r="G6" s="20"/>
      <c r="H6" s="20">
        <v>1692</v>
      </c>
      <c r="I6" s="20">
        <v>1133</v>
      </c>
      <c r="J6" s="20"/>
      <c r="K6" s="20"/>
      <c r="L6" s="20"/>
      <c r="M6" s="20"/>
      <c r="N6" s="20"/>
      <c r="O6" s="20">
        <v>5660</v>
      </c>
    </row>
    <row r="7" spans="1:15" x14ac:dyDescent="0.3">
      <c r="A7" s="17" t="s">
        <v>104</v>
      </c>
      <c r="B7" s="20">
        <v>1465</v>
      </c>
      <c r="C7" s="20">
        <v>1478</v>
      </c>
      <c r="D7" s="20">
        <v>3220</v>
      </c>
      <c r="E7" s="20">
        <v>2960</v>
      </c>
      <c r="F7" s="20">
        <v>7312</v>
      </c>
      <c r="G7" s="20">
        <v>2839</v>
      </c>
      <c r="H7" s="20">
        <v>4814</v>
      </c>
      <c r="I7" s="20">
        <v>3739</v>
      </c>
      <c r="J7" s="20">
        <v>2562</v>
      </c>
      <c r="K7" s="20">
        <v>1250</v>
      </c>
      <c r="L7" s="20">
        <v>3517</v>
      </c>
      <c r="M7" s="20">
        <v>1397</v>
      </c>
      <c r="N7" s="20">
        <v>896</v>
      </c>
      <c r="O7" s="20">
        <v>37449</v>
      </c>
    </row>
    <row r="12" spans="1:15" x14ac:dyDescent="0.3">
      <c r="A12" t="s">
        <v>122</v>
      </c>
      <c r="B12">
        <f>GETPIVOTDATA("Sales",$A$3,"Product",$C$13,"Months (Date)",A5)</f>
        <v>4860</v>
      </c>
      <c r="C12" s="22" t="s">
        <v>124</v>
      </c>
    </row>
    <row r="13" spans="1:15" x14ac:dyDescent="0.3">
      <c r="A13" t="s">
        <v>123</v>
      </c>
      <c r="B13">
        <f>GETPIVOTDATA("Sales",$A$3,"Product",$C$13,"Months (Date)",A6)</f>
        <v>2452</v>
      </c>
      <c r="C13" s="22" t="s">
        <v>81</v>
      </c>
    </row>
    <row r="24" spans="3:4" x14ac:dyDescent="0.3">
      <c r="C24" t="s">
        <v>122</v>
      </c>
      <c r="D24">
        <f>B20</f>
        <v>0</v>
      </c>
    </row>
    <row r="25" spans="3:4" x14ac:dyDescent="0.3">
      <c r="C25" t="s">
        <v>123</v>
      </c>
      <c r="D25">
        <f>GETPIVOTDATA("Sales",$A$3,"Months (Date)",A5)</f>
        <v>31789</v>
      </c>
    </row>
  </sheetData>
  <phoneticPr fontId="5" type="noConversion"/>
  <dataValidations count="1">
    <dataValidation type="list" allowBlank="1" showInputMessage="1" showErrorMessage="1" sqref="C13" xr:uid="{7C57A338-F899-4291-96B2-DD5C11E10FF6}">
      <formula1>$B$4:$N$4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E5DD-8F1F-48CB-BCCE-69D6FD68CDAA}">
  <dimension ref="A1:N200"/>
  <sheetViews>
    <sheetView topLeftCell="A2" workbookViewId="0">
      <selection activeCell="C18" sqref="C18"/>
    </sheetView>
  </sheetViews>
  <sheetFormatPr defaultRowHeight="14.4" x14ac:dyDescent="0.3"/>
  <cols>
    <col min="1" max="1" width="11.5546875" style="10" customWidth="1"/>
    <col min="2" max="2" width="10.33203125" style="6" bestFit="1" customWidth="1"/>
    <col min="3" max="3" width="26.88671875" style="21" customWidth="1"/>
    <col min="4" max="4" width="13.44140625" style="21" customWidth="1"/>
    <col min="5" max="5" width="14.109375" style="21" customWidth="1"/>
    <col min="6" max="6" width="14" style="21" bestFit="1" customWidth="1"/>
    <col min="7" max="7" width="10.109375" style="21" customWidth="1"/>
    <col min="8" max="8" width="7.109375" style="21" bestFit="1" customWidth="1"/>
    <col min="9" max="9" width="15.109375" style="19" customWidth="1"/>
    <col min="10" max="10" width="14.6640625" style="19" customWidth="1"/>
    <col min="11" max="11" width="12.6640625" style="19" customWidth="1"/>
    <col min="12" max="12" width="9.33203125" style="19" bestFit="1" customWidth="1"/>
    <col min="13" max="13" width="8.6640625" style="19" bestFit="1" customWidth="1"/>
    <col min="14" max="14" width="16.33203125" style="19" customWidth="1"/>
  </cols>
  <sheetData>
    <row r="1" spans="1:14" x14ac:dyDescent="0.3">
      <c r="A1" s="10" t="s">
        <v>50</v>
      </c>
      <c r="B1" s="6" t="s">
        <v>51</v>
      </c>
      <c r="C1" s="21" t="s">
        <v>52</v>
      </c>
      <c r="D1" s="21" t="s">
        <v>53</v>
      </c>
      <c r="E1" s="21" t="s">
        <v>54</v>
      </c>
      <c r="F1" s="21" t="s">
        <v>55</v>
      </c>
      <c r="G1" s="21" t="s">
        <v>56</v>
      </c>
      <c r="H1" s="21" t="s">
        <v>57</v>
      </c>
      <c r="I1" s="19" t="s">
        <v>58</v>
      </c>
      <c r="J1" s="19" t="s">
        <v>59</v>
      </c>
      <c r="K1" s="19" t="s">
        <v>60</v>
      </c>
      <c r="L1" s="19" t="s">
        <v>61</v>
      </c>
      <c r="M1" s="19" t="s">
        <v>62</v>
      </c>
      <c r="N1" s="19" t="s">
        <v>63</v>
      </c>
    </row>
    <row r="2" spans="1:14" x14ac:dyDescent="0.3">
      <c r="A2" s="10">
        <v>970</v>
      </c>
      <c r="B2" s="6">
        <v>44562</v>
      </c>
      <c r="C2" s="21" t="s">
        <v>64</v>
      </c>
      <c r="D2" s="21" t="s">
        <v>65</v>
      </c>
      <c r="E2" s="21" t="s">
        <v>66</v>
      </c>
      <c r="F2" s="21" t="s">
        <v>67</v>
      </c>
      <c r="G2" s="21" t="s">
        <v>68</v>
      </c>
      <c r="H2" s="21" t="s">
        <v>69</v>
      </c>
      <c r="I2" s="19">
        <v>110</v>
      </c>
      <c r="J2" s="19">
        <v>240</v>
      </c>
      <c r="K2" s="19">
        <v>26</v>
      </c>
      <c r="L2" s="19">
        <v>101</v>
      </c>
      <c r="M2" s="19">
        <v>234</v>
      </c>
      <c r="N2" s="19">
        <v>38</v>
      </c>
    </row>
    <row r="3" spans="1:14" x14ac:dyDescent="0.3">
      <c r="A3" s="10">
        <v>970</v>
      </c>
      <c r="B3" s="6">
        <v>44562</v>
      </c>
      <c r="C3" s="21" t="s">
        <v>64</v>
      </c>
      <c r="D3" s="21" t="s">
        <v>65</v>
      </c>
      <c r="E3" s="21" t="s">
        <v>66</v>
      </c>
      <c r="F3" s="21" t="s">
        <v>67</v>
      </c>
      <c r="G3" s="21" t="s">
        <v>68</v>
      </c>
      <c r="H3" s="21" t="s">
        <v>69</v>
      </c>
      <c r="I3" s="19">
        <v>110</v>
      </c>
      <c r="J3" s="19">
        <v>240</v>
      </c>
      <c r="K3" s="19">
        <v>26</v>
      </c>
      <c r="L3" s="19">
        <v>101</v>
      </c>
      <c r="M3" s="19">
        <v>234</v>
      </c>
      <c r="N3" s="19">
        <v>38</v>
      </c>
    </row>
    <row r="4" spans="1:14" x14ac:dyDescent="0.3">
      <c r="A4" s="10">
        <v>309</v>
      </c>
      <c r="B4" s="6">
        <v>44562</v>
      </c>
      <c r="C4" s="21" t="s">
        <v>64</v>
      </c>
      <c r="D4" s="21" t="s">
        <v>65</v>
      </c>
      <c r="E4" s="21" t="s">
        <v>66</v>
      </c>
      <c r="F4" s="21" t="s">
        <v>6</v>
      </c>
      <c r="G4" s="21" t="s">
        <v>68</v>
      </c>
      <c r="H4" s="21" t="s">
        <v>69</v>
      </c>
      <c r="I4" s="19">
        <v>100</v>
      </c>
      <c r="J4" s="19">
        <v>240</v>
      </c>
      <c r="K4" s="19">
        <v>30</v>
      </c>
      <c r="L4" s="19">
        <v>87</v>
      </c>
      <c r="M4" s="19">
        <v>234</v>
      </c>
      <c r="N4" s="19">
        <v>52</v>
      </c>
    </row>
    <row r="5" spans="1:14" x14ac:dyDescent="0.3">
      <c r="A5" s="10">
        <v>614</v>
      </c>
      <c r="B5" s="6">
        <v>44562</v>
      </c>
      <c r="C5" s="21" t="s">
        <v>64</v>
      </c>
      <c r="D5" s="21" t="s">
        <v>65</v>
      </c>
      <c r="E5" s="21" t="s">
        <v>66</v>
      </c>
      <c r="F5" s="21" t="s">
        <v>70</v>
      </c>
      <c r="G5" s="21" t="s">
        <v>68</v>
      </c>
      <c r="H5" s="21" t="s">
        <v>69</v>
      </c>
      <c r="I5" s="19">
        <v>20</v>
      </c>
      <c r="J5" s="19">
        <v>150</v>
      </c>
      <c r="K5" s="19">
        <v>57</v>
      </c>
      <c r="L5" s="19">
        <v>0</v>
      </c>
      <c r="M5" s="19">
        <v>150</v>
      </c>
      <c r="N5" s="19">
        <v>87</v>
      </c>
    </row>
    <row r="6" spans="1:14" x14ac:dyDescent="0.3">
      <c r="A6" s="10">
        <v>754</v>
      </c>
      <c r="B6" s="6">
        <v>44562</v>
      </c>
      <c r="C6" s="21" t="s">
        <v>64</v>
      </c>
      <c r="D6" s="21" t="s">
        <v>65</v>
      </c>
      <c r="E6" s="21" t="s">
        <v>66</v>
      </c>
      <c r="F6" s="21" t="s">
        <v>71</v>
      </c>
      <c r="G6" s="21" t="s">
        <v>72</v>
      </c>
      <c r="H6" s="21" t="s">
        <v>69</v>
      </c>
      <c r="I6" s="19">
        <v>70</v>
      </c>
      <c r="J6" s="19">
        <v>190</v>
      </c>
      <c r="K6" s="19">
        <v>26</v>
      </c>
      <c r="L6" s="19">
        <v>67</v>
      </c>
      <c r="M6" s="19">
        <v>200</v>
      </c>
      <c r="N6" s="19">
        <v>49</v>
      </c>
    </row>
    <row r="7" spans="1:14" x14ac:dyDescent="0.3">
      <c r="A7" s="10">
        <v>325</v>
      </c>
      <c r="B7" s="6">
        <v>44562</v>
      </c>
      <c r="C7" s="21" t="s">
        <v>64</v>
      </c>
      <c r="D7" s="21" t="s">
        <v>65</v>
      </c>
      <c r="E7" s="21" t="s">
        <v>66</v>
      </c>
      <c r="F7" s="21" t="s">
        <v>73</v>
      </c>
      <c r="G7" s="21" t="s">
        <v>74</v>
      </c>
      <c r="H7" s="21" t="s">
        <v>69</v>
      </c>
      <c r="I7" s="19">
        <v>100</v>
      </c>
      <c r="J7" s="19">
        <v>230</v>
      </c>
      <c r="K7" s="19">
        <v>27</v>
      </c>
      <c r="L7" s="19">
        <v>68</v>
      </c>
      <c r="M7" s="19">
        <v>190</v>
      </c>
      <c r="N7" s="19">
        <v>39</v>
      </c>
    </row>
    <row r="8" spans="1:14" x14ac:dyDescent="0.3">
      <c r="A8" s="10">
        <v>650</v>
      </c>
      <c r="B8" s="6">
        <v>44562</v>
      </c>
      <c r="C8" s="21" t="s">
        <v>64</v>
      </c>
      <c r="D8" s="21" t="s">
        <v>65</v>
      </c>
      <c r="E8" s="21" t="s">
        <v>66</v>
      </c>
      <c r="F8" s="21" t="s">
        <v>75</v>
      </c>
      <c r="G8" s="21" t="s">
        <v>76</v>
      </c>
      <c r="H8" s="21" t="s">
        <v>69</v>
      </c>
      <c r="I8" s="19">
        <v>-120</v>
      </c>
      <c r="J8" s="19">
        <v>140</v>
      </c>
      <c r="K8" s="19">
        <v>47</v>
      </c>
      <c r="L8" s="19">
        <v>-117</v>
      </c>
      <c r="M8" s="19">
        <v>118</v>
      </c>
      <c r="N8" s="19">
        <v>91</v>
      </c>
    </row>
    <row r="9" spans="1:14" x14ac:dyDescent="0.3">
      <c r="A9" s="10">
        <v>720</v>
      </c>
      <c r="B9" s="6">
        <v>44562</v>
      </c>
      <c r="C9" s="21" t="s">
        <v>77</v>
      </c>
      <c r="D9" s="21" t="s">
        <v>65</v>
      </c>
      <c r="E9" s="21" t="s">
        <v>78</v>
      </c>
      <c r="F9" s="21" t="s">
        <v>67</v>
      </c>
      <c r="G9" s="21" t="s">
        <v>68</v>
      </c>
      <c r="H9" s="21" t="s">
        <v>69</v>
      </c>
      <c r="I9" s="19">
        <v>80</v>
      </c>
      <c r="J9" s="19">
        <v>210</v>
      </c>
      <c r="K9" s="19">
        <v>23</v>
      </c>
      <c r="L9" s="19">
        <v>53</v>
      </c>
      <c r="M9" s="19">
        <v>180</v>
      </c>
      <c r="N9" s="19">
        <v>55</v>
      </c>
    </row>
    <row r="10" spans="1:14" x14ac:dyDescent="0.3">
      <c r="A10" s="10">
        <v>630</v>
      </c>
      <c r="B10" s="6">
        <v>44562</v>
      </c>
      <c r="C10" s="21" t="s">
        <v>77</v>
      </c>
      <c r="D10" s="21" t="s">
        <v>65</v>
      </c>
      <c r="E10" s="21" t="s">
        <v>78</v>
      </c>
      <c r="F10" s="21" t="s">
        <v>6</v>
      </c>
      <c r="G10" s="21" t="s">
        <v>68</v>
      </c>
      <c r="H10" s="21" t="s">
        <v>69</v>
      </c>
      <c r="I10" s="19">
        <v>180</v>
      </c>
      <c r="J10" s="19">
        <v>530</v>
      </c>
      <c r="K10" s="19">
        <v>63</v>
      </c>
      <c r="L10" s="19">
        <v>140</v>
      </c>
      <c r="M10" s="19">
        <v>456</v>
      </c>
      <c r="N10" s="19">
        <v>88</v>
      </c>
    </row>
    <row r="11" spans="1:14" x14ac:dyDescent="0.3">
      <c r="A11" s="10">
        <v>614</v>
      </c>
      <c r="B11" s="6">
        <v>44562</v>
      </c>
      <c r="C11" s="21" t="s">
        <v>77</v>
      </c>
      <c r="D11" s="21" t="s">
        <v>65</v>
      </c>
      <c r="E11" s="21" t="s">
        <v>78</v>
      </c>
      <c r="F11" s="21" t="s">
        <v>70</v>
      </c>
      <c r="G11" s="21" t="s">
        <v>68</v>
      </c>
      <c r="H11" s="21" t="s">
        <v>69</v>
      </c>
      <c r="I11" s="19">
        <v>40</v>
      </c>
      <c r="J11" s="19">
        <v>150</v>
      </c>
      <c r="K11" s="19">
        <v>22</v>
      </c>
      <c r="L11" s="19">
        <v>16</v>
      </c>
      <c r="M11" s="19">
        <v>130</v>
      </c>
      <c r="N11" s="19">
        <v>56</v>
      </c>
    </row>
    <row r="12" spans="1:14" x14ac:dyDescent="0.3">
      <c r="A12" s="10">
        <v>754</v>
      </c>
      <c r="B12" s="6">
        <v>44562</v>
      </c>
      <c r="C12" s="21" t="s">
        <v>77</v>
      </c>
      <c r="D12" s="21" t="s">
        <v>65</v>
      </c>
      <c r="E12" s="21" t="s">
        <v>78</v>
      </c>
      <c r="F12" s="21" t="s">
        <v>71</v>
      </c>
      <c r="G12" s="21" t="s">
        <v>72</v>
      </c>
      <c r="H12" s="21" t="s">
        <v>69</v>
      </c>
      <c r="I12" s="19">
        <v>60</v>
      </c>
      <c r="J12" s="19">
        <v>170</v>
      </c>
      <c r="K12" s="19">
        <v>25</v>
      </c>
      <c r="L12" s="19">
        <v>50</v>
      </c>
      <c r="M12" s="19">
        <v>180</v>
      </c>
      <c r="N12" s="19">
        <v>53</v>
      </c>
    </row>
    <row r="13" spans="1:14" x14ac:dyDescent="0.3">
      <c r="A13" s="10">
        <v>956</v>
      </c>
      <c r="B13" s="6">
        <v>44562</v>
      </c>
      <c r="C13" s="21" t="s">
        <v>77</v>
      </c>
      <c r="D13" s="21" t="s">
        <v>65</v>
      </c>
      <c r="E13" s="21" t="s">
        <v>78</v>
      </c>
      <c r="F13" s="21" t="s">
        <v>73</v>
      </c>
      <c r="G13" s="21" t="s">
        <v>74</v>
      </c>
      <c r="H13" s="21" t="s">
        <v>69</v>
      </c>
      <c r="I13" s="19">
        <v>60</v>
      </c>
      <c r="J13" s="19">
        <v>110</v>
      </c>
      <c r="K13" s="19">
        <v>15</v>
      </c>
      <c r="L13" s="19">
        <v>54</v>
      </c>
      <c r="M13" s="19">
        <v>134</v>
      </c>
      <c r="N13" s="19">
        <v>26</v>
      </c>
    </row>
    <row r="14" spans="1:14" x14ac:dyDescent="0.3">
      <c r="A14" s="10">
        <v>213</v>
      </c>
      <c r="B14" s="6">
        <v>44562</v>
      </c>
      <c r="C14" s="21" t="s">
        <v>77</v>
      </c>
      <c r="D14" s="21" t="s">
        <v>65</v>
      </c>
      <c r="E14" s="21" t="s">
        <v>78</v>
      </c>
      <c r="F14" s="21" t="s">
        <v>75</v>
      </c>
      <c r="G14" s="21" t="s">
        <v>76</v>
      </c>
      <c r="H14" s="21" t="s">
        <v>69</v>
      </c>
      <c r="I14" s="19">
        <v>200</v>
      </c>
      <c r="J14" s="19">
        <v>520</v>
      </c>
      <c r="K14" s="19">
        <v>77</v>
      </c>
      <c r="L14" s="19">
        <v>203</v>
      </c>
      <c r="M14" s="19">
        <v>546</v>
      </c>
      <c r="N14" s="19">
        <v>109</v>
      </c>
    </row>
    <row r="15" spans="1:14" x14ac:dyDescent="0.3">
      <c r="A15" s="10">
        <v>719</v>
      </c>
      <c r="B15" s="6">
        <v>44562</v>
      </c>
      <c r="C15" s="21" t="s">
        <v>79</v>
      </c>
      <c r="D15" s="21" t="s">
        <v>65</v>
      </c>
      <c r="E15" s="21" t="s">
        <v>66</v>
      </c>
      <c r="F15" s="21" t="s">
        <v>67</v>
      </c>
      <c r="G15" s="21" t="s">
        <v>68</v>
      </c>
      <c r="H15" s="21" t="s">
        <v>80</v>
      </c>
      <c r="I15" s="19">
        <v>100</v>
      </c>
      <c r="J15" s="19">
        <v>220</v>
      </c>
      <c r="K15" s="19">
        <v>24</v>
      </c>
      <c r="L15" s="19">
        <v>94</v>
      </c>
      <c r="M15" s="19">
        <v>219</v>
      </c>
      <c r="N15" s="19">
        <v>36</v>
      </c>
    </row>
    <row r="16" spans="1:14" x14ac:dyDescent="0.3">
      <c r="A16" s="10">
        <v>740</v>
      </c>
      <c r="B16" s="6">
        <v>44562</v>
      </c>
      <c r="C16" s="21" t="s">
        <v>79</v>
      </c>
      <c r="D16" s="21" t="s">
        <v>65</v>
      </c>
      <c r="E16" s="21" t="s">
        <v>66</v>
      </c>
      <c r="F16" s="21" t="s">
        <v>70</v>
      </c>
      <c r="G16" s="21" t="s">
        <v>68</v>
      </c>
      <c r="H16" s="21" t="s">
        <v>80</v>
      </c>
      <c r="I16" s="19">
        <v>50</v>
      </c>
      <c r="J16" s="19">
        <v>140</v>
      </c>
      <c r="K16" s="19">
        <v>19</v>
      </c>
      <c r="L16" s="19">
        <v>34</v>
      </c>
      <c r="M16" s="19">
        <v>140</v>
      </c>
      <c r="N16" s="19">
        <v>46</v>
      </c>
    </row>
    <row r="17" spans="1:14" x14ac:dyDescent="0.3">
      <c r="A17" s="10">
        <v>970</v>
      </c>
      <c r="B17" s="6">
        <v>44562</v>
      </c>
      <c r="C17" s="21" t="s">
        <v>81</v>
      </c>
      <c r="D17" s="21" t="s">
        <v>65</v>
      </c>
      <c r="E17" s="21" t="s">
        <v>66</v>
      </c>
      <c r="F17" s="21" t="s">
        <v>67</v>
      </c>
      <c r="G17" s="21" t="s">
        <v>68</v>
      </c>
      <c r="H17" s="21" t="s">
        <v>80</v>
      </c>
      <c r="I17" s="19">
        <v>80</v>
      </c>
      <c r="J17" s="19">
        <v>190</v>
      </c>
      <c r="K17" s="19">
        <v>27</v>
      </c>
      <c r="L17" s="19">
        <v>68</v>
      </c>
      <c r="M17" s="19">
        <v>190</v>
      </c>
      <c r="N17" s="19">
        <v>39</v>
      </c>
    </row>
    <row r="18" spans="1:14" x14ac:dyDescent="0.3">
      <c r="A18" s="10">
        <v>217</v>
      </c>
      <c r="B18" s="6">
        <v>44562</v>
      </c>
      <c r="C18" s="21" t="s">
        <v>81</v>
      </c>
      <c r="D18" s="21" t="s">
        <v>65</v>
      </c>
      <c r="E18" s="21" t="s">
        <v>66</v>
      </c>
      <c r="F18" s="21" t="s">
        <v>6</v>
      </c>
      <c r="G18" s="21" t="s">
        <v>68</v>
      </c>
      <c r="H18" s="21" t="s">
        <v>80</v>
      </c>
      <c r="I18" s="19">
        <v>130</v>
      </c>
      <c r="J18" s="19">
        <v>360</v>
      </c>
      <c r="K18" s="19">
        <v>47</v>
      </c>
      <c r="L18" s="19">
        <v>111</v>
      </c>
      <c r="M18" s="19">
        <v>345</v>
      </c>
      <c r="N18" s="19">
        <v>90</v>
      </c>
    </row>
    <row r="19" spans="1:14" x14ac:dyDescent="0.3">
      <c r="A19" s="10">
        <v>614</v>
      </c>
      <c r="B19" s="6">
        <v>44562</v>
      </c>
      <c r="C19" s="21" t="s">
        <v>81</v>
      </c>
      <c r="D19" s="21" t="s">
        <v>65</v>
      </c>
      <c r="E19" s="21" t="s">
        <v>66</v>
      </c>
      <c r="F19" s="21" t="s">
        <v>70</v>
      </c>
      <c r="G19" s="21" t="s">
        <v>68</v>
      </c>
      <c r="H19" s="21" t="s">
        <v>80</v>
      </c>
      <c r="I19" s="19">
        <v>50</v>
      </c>
      <c r="J19" s="19">
        <v>140</v>
      </c>
      <c r="K19" s="19">
        <v>18</v>
      </c>
      <c r="L19" s="19">
        <v>42</v>
      </c>
      <c r="M19" s="19">
        <v>140</v>
      </c>
      <c r="N19" s="19">
        <v>41</v>
      </c>
    </row>
    <row r="20" spans="1:14" x14ac:dyDescent="0.3">
      <c r="A20" s="10">
        <v>954</v>
      </c>
      <c r="B20" s="6">
        <v>44562</v>
      </c>
      <c r="C20" s="21" t="s">
        <v>81</v>
      </c>
      <c r="D20" s="21" t="s">
        <v>65</v>
      </c>
      <c r="E20" s="21" t="s">
        <v>66</v>
      </c>
      <c r="F20" s="21" t="s">
        <v>71</v>
      </c>
      <c r="G20" s="21" t="s">
        <v>72</v>
      </c>
      <c r="H20" s="21" t="s">
        <v>80</v>
      </c>
      <c r="I20" s="19">
        <v>70</v>
      </c>
      <c r="J20" s="19">
        <v>190</v>
      </c>
      <c r="K20" s="19">
        <v>27</v>
      </c>
      <c r="L20" s="19">
        <v>68</v>
      </c>
      <c r="M20" s="19">
        <v>210</v>
      </c>
      <c r="N20" s="19">
        <v>58</v>
      </c>
    </row>
    <row r="21" spans="1:14" x14ac:dyDescent="0.3">
      <c r="A21" s="10">
        <v>413</v>
      </c>
      <c r="B21" s="6">
        <v>44562</v>
      </c>
      <c r="C21" s="21" t="s">
        <v>81</v>
      </c>
      <c r="D21" s="21" t="s">
        <v>65</v>
      </c>
      <c r="E21" s="21" t="s">
        <v>66</v>
      </c>
      <c r="F21" s="21" t="s">
        <v>82</v>
      </c>
      <c r="G21" s="21" t="s">
        <v>72</v>
      </c>
      <c r="H21" s="21" t="s">
        <v>80</v>
      </c>
      <c r="I21" s="19">
        <v>360</v>
      </c>
      <c r="J21" s="19">
        <v>460</v>
      </c>
      <c r="K21" s="19">
        <v>23</v>
      </c>
      <c r="L21" s="19">
        <v>367</v>
      </c>
      <c r="M21" s="19">
        <v>494</v>
      </c>
      <c r="N21" s="19">
        <v>55</v>
      </c>
    </row>
    <row r="22" spans="1:14" x14ac:dyDescent="0.3">
      <c r="A22" s="10">
        <v>716</v>
      </c>
      <c r="B22" s="6">
        <v>44562</v>
      </c>
      <c r="C22" s="21" t="s">
        <v>81</v>
      </c>
      <c r="D22" s="21" t="s">
        <v>65</v>
      </c>
      <c r="E22" s="21" t="s">
        <v>66</v>
      </c>
      <c r="F22" s="21" t="s">
        <v>27</v>
      </c>
      <c r="G22" s="21" t="s">
        <v>72</v>
      </c>
      <c r="H22" s="21" t="s">
        <v>80</v>
      </c>
      <c r="I22" s="19">
        <v>260</v>
      </c>
      <c r="J22" s="19">
        <v>640</v>
      </c>
      <c r="K22" s="19">
        <v>94</v>
      </c>
      <c r="L22" s="19">
        <v>262</v>
      </c>
      <c r="M22" s="19">
        <v>678</v>
      </c>
      <c r="N22" s="19">
        <v>145</v>
      </c>
    </row>
    <row r="23" spans="1:14" x14ac:dyDescent="0.3">
      <c r="A23" s="10">
        <v>409</v>
      </c>
      <c r="B23" s="6">
        <v>44562</v>
      </c>
      <c r="C23" s="21" t="s">
        <v>81</v>
      </c>
      <c r="D23" s="21" t="s">
        <v>65</v>
      </c>
      <c r="E23" s="21" t="s">
        <v>66</v>
      </c>
      <c r="F23" s="21" t="s">
        <v>73</v>
      </c>
      <c r="G23" s="21" t="s">
        <v>74</v>
      </c>
      <c r="H23" s="21" t="s">
        <v>80</v>
      </c>
      <c r="I23" s="19">
        <v>220</v>
      </c>
      <c r="J23" s="19">
        <v>560</v>
      </c>
      <c r="K23" s="19">
        <v>64</v>
      </c>
      <c r="L23" s="19">
        <v>159</v>
      </c>
      <c r="M23" s="19">
        <v>452</v>
      </c>
      <c r="N23" s="19">
        <v>86</v>
      </c>
    </row>
    <row r="24" spans="1:14" x14ac:dyDescent="0.3">
      <c r="A24" s="10">
        <v>916</v>
      </c>
      <c r="B24" s="6">
        <v>44562</v>
      </c>
      <c r="C24" s="21" t="s">
        <v>79</v>
      </c>
      <c r="D24" s="21" t="s">
        <v>65</v>
      </c>
      <c r="E24" s="21" t="s">
        <v>66</v>
      </c>
      <c r="F24" s="21" t="s">
        <v>75</v>
      </c>
      <c r="G24" s="21" t="s">
        <v>76</v>
      </c>
      <c r="H24" s="21" t="s">
        <v>80</v>
      </c>
      <c r="I24" s="19">
        <v>30</v>
      </c>
      <c r="J24" s="19">
        <v>180</v>
      </c>
      <c r="K24" s="19">
        <v>30</v>
      </c>
      <c r="L24" s="19">
        <v>-2</v>
      </c>
      <c r="M24" s="19">
        <v>145</v>
      </c>
      <c r="N24" s="19">
        <v>52</v>
      </c>
    </row>
    <row r="25" spans="1:14" x14ac:dyDescent="0.3">
      <c r="A25" s="10">
        <v>559</v>
      </c>
      <c r="B25" s="6">
        <v>44562</v>
      </c>
      <c r="C25" s="21" t="s">
        <v>81</v>
      </c>
      <c r="D25" s="21" t="s">
        <v>65</v>
      </c>
      <c r="E25" s="21" t="s">
        <v>66</v>
      </c>
      <c r="F25" s="21" t="s">
        <v>75</v>
      </c>
      <c r="G25" s="21" t="s">
        <v>76</v>
      </c>
      <c r="H25" s="21" t="s">
        <v>80</v>
      </c>
      <c r="I25" s="19">
        <v>370</v>
      </c>
      <c r="J25" s="19">
        <v>840</v>
      </c>
      <c r="K25" s="19">
        <v>94</v>
      </c>
      <c r="L25" s="19">
        <v>262</v>
      </c>
      <c r="M25" s="19">
        <v>678</v>
      </c>
      <c r="N25" s="19">
        <v>145</v>
      </c>
    </row>
    <row r="26" spans="1:14" x14ac:dyDescent="0.3">
      <c r="A26" s="10">
        <v>303</v>
      </c>
      <c r="B26" s="6">
        <v>44562</v>
      </c>
      <c r="C26" s="21" t="s">
        <v>83</v>
      </c>
      <c r="D26" s="21" t="s">
        <v>65</v>
      </c>
      <c r="E26" s="21" t="s">
        <v>78</v>
      </c>
      <c r="F26" s="21" t="s">
        <v>67</v>
      </c>
      <c r="G26" s="21" t="s">
        <v>68</v>
      </c>
      <c r="H26" s="21" t="s">
        <v>80</v>
      </c>
      <c r="I26" s="19">
        <v>70</v>
      </c>
      <c r="J26" s="19">
        <v>150</v>
      </c>
      <c r="K26" s="19">
        <v>15</v>
      </c>
      <c r="L26" s="19">
        <v>54</v>
      </c>
      <c r="M26" s="19">
        <v>134</v>
      </c>
      <c r="N26" s="19">
        <v>26</v>
      </c>
    </row>
    <row r="27" spans="1:14" x14ac:dyDescent="0.3">
      <c r="A27" s="10">
        <v>309</v>
      </c>
      <c r="B27" s="6">
        <v>44562</v>
      </c>
      <c r="C27" s="21" t="s">
        <v>83</v>
      </c>
      <c r="D27" s="21" t="s">
        <v>65</v>
      </c>
      <c r="E27" s="21" t="s">
        <v>78</v>
      </c>
      <c r="F27" s="21" t="s">
        <v>6</v>
      </c>
      <c r="G27" s="21" t="s">
        <v>68</v>
      </c>
      <c r="H27" s="21" t="s">
        <v>80</v>
      </c>
      <c r="I27" s="19">
        <v>260</v>
      </c>
      <c r="J27" s="19">
        <v>640</v>
      </c>
      <c r="K27" s="19">
        <v>77</v>
      </c>
      <c r="L27" s="19">
        <v>203</v>
      </c>
      <c r="M27" s="19">
        <v>546</v>
      </c>
      <c r="N27" s="19">
        <v>109</v>
      </c>
    </row>
    <row r="28" spans="1:14" x14ac:dyDescent="0.3">
      <c r="A28" s="10">
        <v>614</v>
      </c>
      <c r="B28" s="6">
        <v>44562</v>
      </c>
      <c r="C28" s="21" t="s">
        <v>83</v>
      </c>
      <c r="D28" s="21" t="s">
        <v>65</v>
      </c>
      <c r="E28" s="21" t="s">
        <v>78</v>
      </c>
      <c r="F28" s="21" t="s">
        <v>70</v>
      </c>
      <c r="G28" s="21" t="s">
        <v>68</v>
      </c>
      <c r="H28" s="21" t="s">
        <v>80</v>
      </c>
      <c r="I28" s="19">
        <v>140</v>
      </c>
      <c r="J28" s="19">
        <v>400</v>
      </c>
      <c r="K28" s="19">
        <v>47</v>
      </c>
      <c r="L28" s="19">
        <v>99</v>
      </c>
      <c r="M28" s="19">
        <v>341</v>
      </c>
      <c r="N28" s="19">
        <v>72</v>
      </c>
    </row>
    <row r="29" spans="1:14" x14ac:dyDescent="0.3">
      <c r="A29" s="10">
        <v>239</v>
      </c>
      <c r="B29" s="6">
        <v>44562</v>
      </c>
      <c r="C29" s="21" t="s">
        <v>83</v>
      </c>
      <c r="D29" s="21" t="s">
        <v>65</v>
      </c>
      <c r="E29" s="21" t="s">
        <v>78</v>
      </c>
      <c r="F29" s="21" t="s">
        <v>71</v>
      </c>
      <c r="G29" s="21" t="s">
        <v>72</v>
      </c>
      <c r="H29" s="21" t="s">
        <v>80</v>
      </c>
      <c r="I29" s="19">
        <v>30</v>
      </c>
      <c r="J29" s="19">
        <v>180</v>
      </c>
      <c r="K29" s="19">
        <v>72</v>
      </c>
      <c r="L29" s="19">
        <v>9</v>
      </c>
      <c r="M29" s="19">
        <v>190</v>
      </c>
      <c r="N29" s="19">
        <v>102</v>
      </c>
    </row>
    <row r="30" spans="1:14" x14ac:dyDescent="0.3">
      <c r="A30" s="10">
        <v>781</v>
      </c>
      <c r="B30" s="6">
        <v>44562</v>
      </c>
      <c r="C30" s="21" t="s">
        <v>83</v>
      </c>
      <c r="D30" s="21" t="s">
        <v>65</v>
      </c>
      <c r="E30" s="21" t="s">
        <v>78</v>
      </c>
      <c r="F30" s="21" t="s">
        <v>82</v>
      </c>
      <c r="G30" s="21" t="s">
        <v>72</v>
      </c>
      <c r="H30" s="21" t="s">
        <v>80</v>
      </c>
      <c r="I30" s="19">
        <v>-10</v>
      </c>
      <c r="J30" s="19">
        <v>120</v>
      </c>
      <c r="K30" s="19">
        <v>57</v>
      </c>
      <c r="L30" s="19">
        <v>-23</v>
      </c>
      <c r="M30" s="19">
        <v>126</v>
      </c>
      <c r="N30" s="19">
        <v>86</v>
      </c>
    </row>
    <row r="31" spans="1:14" x14ac:dyDescent="0.3">
      <c r="A31" s="10">
        <v>315</v>
      </c>
      <c r="B31" s="6">
        <v>44562</v>
      </c>
      <c r="C31" s="21" t="s">
        <v>83</v>
      </c>
      <c r="D31" s="21" t="s">
        <v>65</v>
      </c>
      <c r="E31" s="21" t="s">
        <v>78</v>
      </c>
      <c r="F31" s="21" t="s">
        <v>27</v>
      </c>
      <c r="G31" s="21" t="s">
        <v>72</v>
      </c>
      <c r="H31" s="21" t="s">
        <v>80</v>
      </c>
      <c r="I31" s="19">
        <v>-170</v>
      </c>
      <c r="J31" s="19">
        <v>50</v>
      </c>
      <c r="K31" s="19">
        <v>95</v>
      </c>
      <c r="L31" s="19">
        <v>-172</v>
      </c>
      <c r="M31" s="19">
        <v>61</v>
      </c>
      <c r="N31" s="19">
        <v>128</v>
      </c>
    </row>
    <row r="32" spans="1:14" x14ac:dyDescent="0.3">
      <c r="A32" s="10">
        <v>978</v>
      </c>
      <c r="B32" s="6">
        <v>44562</v>
      </c>
      <c r="C32" s="21" t="s">
        <v>84</v>
      </c>
      <c r="D32" s="21" t="s">
        <v>65</v>
      </c>
      <c r="E32" s="21" t="s">
        <v>78</v>
      </c>
      <c r="F32" s="21" t="s">
        <v>82</v>
      </c>
      <c r="G32" s="21" t="s">
        <v>72</v>
      </c>
      <c r="H32" s="21" t="s">
        <v>80</v>
      </c>
      <c r="I32" s="19">
        <v>110</v>
      </c>
      <c r="J32" s="19">
        <v>330</v>
      </c>
      <c r="K32" s="19">
        <v>47</v>
      </c>
      <c r="L32" s="19">
        <v>100</v>
      </c>
      <c r="M32" s="19">
        <v>341</v>
      </c>
      <c r="N32" s="19">
        <v>71</v>
      </c>
    </row>
    <row r="33" spans="1:14" x14ac:dyDescent="0.3">
      <c r="A33" s="10">
        <v>631</v>
      </c>
      <c r="B33" s="6">
        <v>44562</v>
      </c>
      <c r="C33" s="21" t="s">
        <v>84</v>
      </c>
      <c r="D33" s="21" t="s">
        <v>65</v>
      </c>
      <c r="E33" s="21" t="s">
        <v>78</v>
      </c>
      <c r="F33" s="21" t="s">
        <v>27</v>
      </c>
      <c r="G33" s="21" t="s">
        <v>72</v>
      </c>
      <c r="H33" s="21" t="s">
        <v>80</v>
      </c>
      <c r="I33" s="19">
        <v>200</v>
      </c>
      <c r="J33" s="19">
        <v>480</v>
      </c>
      <c r="K33" s="19">
        <v>63</v>
      </c>
      <c r="L33" s="19">
        <v>175</v>
      </c>
      <c r="M33" s="19">
        <v>490</v>
      </c>
      <c r="N33" s="19">
        <v>87</v>
      </c>
    </row>
    <row r="34" spans="1:14" x14ac:dyDescent="0.3">
      <c r="A34" s="10">
        <v>830</v>
      </c>
      <c r="B34" s="6">
        <v>44562</v>
      </c>
      <c r="C34" s="21" t="s">
        <v>85</v>
      </c>
      <c r="D34" s="21" t="s">
        <v>65</v>
      </c>
      <c r="E34" s="21" t="s">
        <v>78</v>
      </c>
      <c r="F34" s="21" t="s">
        <v>73</v>
      </c>
      <c r="G34" s="21" t="s">
        <v>74</v>
      </c>
      <c r="H34" s="21" t="s">
        <v>80</v>
      </c>
      <c r="I34" s="19">
        <v>50</v>
      </c>
      <c r="J34" s="19">
        <v>150</v>
      </c>
      <c r="K34" s="19">
        <v>23</v>
      </c>
      <c r="L34" s="19">
        <v>53</v>
      </c>
      <c r="M34" s="19">
        <v>180</v>
      </c>
      <c r="N34" s="19">
        <v>55</v>
      </c>
    </row>
    <row r="35" spans="1:14" x14ac:dyDescent="0.3">
      <c r="A35" s="10">
        <v>325</v>
      </c>
      <c r="B35" s="6">
        <v>44562</v>
      </c>
      <c r="C35" s="21" t="s">
        <v>83</v>
      </c>
      <c r="D35" s="21" t="s">
        <v>65</v>
      </c>
      <c r="E35" s="21" t="s">
        <v>78</v>
      </c>
      <c r="F35" s="21" t="s">
        <v>73</v>
      </c>
      <c r="G35" s="21" t="s">
        <v>74</v>
      </c>
      <c r="H35" s="21" t="s">
        <v>80</v>
      </c>
      <c r="I35" s="19">
        <v>90</v>
      </c>
      <c r="J35" s="19">
        <v>180</v>
      </c>
      <c r="K35" s="19">
        <v>24</v>
      </c>
      <c r="L35" s="19">
        <v>95</v>
      </c>
      <c r="M35" s="19">
        <v>219</v>
      </c>
      <c r="N35" s="19">
        <v>35</v>
      </c>
    </row>
    <row r="36" spans="1:14" x14ac:dyDescent="0.3">
      <c r="A36" s="10">
        <v>661</v>
      </c>
      <c r="B36" s="6">
        <v>44562</v>
      </c>
      <c r="C36" s="21" t="s">
        <v>85</v>
      </c>
      <c r="D36" s="21" t="s">
        <v>65</v>
      </c>
      <c r="E36" s="21" t="s">
        <v>78</v>
      </c>
      <c r="F36" s="21" t="s">
        <v>75</v>
      </c>
      <c r="G36" s="21" t="s">
        <v>76</v>
      </c>
      <c r="H36" s="21" t="s">
        <v>80</v>
      </c>
      <c r="I36" s="19">
        <v>150</v>
      </c>
      <c r="J36" s="19">
        <v>430</v>
      </c>
      <c r="K36" s="19">
        <v>63</v>
      </c>
      <c r="L36" s="19">
        <v>140</v>
      </c>
      <c r="M36" s="19">
        <v>456</v>
      </c>
      <c r="N36" s="19">
        <v>88</v>
      </c>
    </row>
    <row r="37" spans="1:14" x14ac:dyDescent="0.3">
      <c r="A37" s="10">
        <v>818</v>
      </c>
      <c r="B37" s="6">
        <v>44562</v>
      </c>
      <c r="C37" s="21" t="s">
        <v>83</v>
      </c>
      <c r="D37" s="21" t="s">
        <v>65</v>
      </c>
      <c r="E37" s="21" t="s">
        <v>78</v>
      </c>
      <c r="F37" s="21" t="s">
        <v>75</v>
      </c>
      <c r="G37" s="21" t="s">
        <v>76</v>
      </c>
      <c r="H37" s="21" t="s">
        <v>80</v>
      </c>
      <c r="I37" s="19">
        <v>20</v>
      </c>
      <c r="J37" s="19">
        <v>240</v>
      </c>
      <c r="K37" s="19">
        <v>95</v>
      </c>
      <c r="L37" s="19">
        <v>17</v>
      </c>
      <c r="M37" s="19">
        <v>250</v>
      </c>
      <c r="N37" s="19">
        <v>128</v>
      </c>
    </row>
    <row r="38" spans="1:14" x14ac:dyDescent="0.3">
      <c r="A38" s="10">
        <v>712</v>
      </c>
      <c r="B38" s="6">
        <v>44562</v>
      </c>
      <c r="C38" s="21" t="s">
        <v>64</v>
      </c>
      <c r="D38" s="21" t="s">
        <v>65</v>
      </c>
      <c r="E38" s="21" t="s">
        <v>66</v>
      </c>
      <c r="F38" s="21" t="s">
        <v>12</v>
      </c>
      <c r="G38" s="21" t="s">
        <v>68</v>
      </c>
      <c r="H38" s="21" t="s">
        <v>69</v>
      </c>
      <c r="I38" s="19">
        <v>20</v>
      </c>
      <c r="J38" s="19">
        <v>50</v>
      </c>
      <c r="K38" s="19">
        <v>7</v>
      </c>
      <c r="L38" s="19">
        <v>12</v>
      </c>
      <c r="M38" s="19">
        <v>54</v>
      </c>
      <c r="N38" s="19">
        <v>19</v>
      </c>
    </row>
    <row r="39" spans="1:14" x14ac:dyDescent="0.3">
      <c r="A39" s="10">
        <v>573</v>
      </c>
      <c r="B39" s="6">
        <v>44562</v>
      </c>
      <c r="C39" s="21" t="s">
        <v>64</v>
      </c>
      <c r="D39" s="21" t="s">
        <v>65</v>
      </c>
      <c r="E39" s="21" t="s">
        <v>66</v>
      </c>
      <c r="F39" s="21" t="s">
        <v>86</v>
      </c>
      <c r="G39" s="21" t="s">
        <v>68</v>
      </c>
      <c r="H39" s="21" t="s">
        <v>69</v>
      </c>
      <c r="I39" s="19">
        <v>50</v>
      </c>
      <c r="J39" s="19">
        <v>170</v>
      </c>
      <c r="K39" s="19">
        <v>24</v>
      </c>
      <c r="L39" s="19">
        <v>47</v>
      </c>
      <c r="M39" s="19">
        <v>170</v>
      </c>
      <c r="N39" s="19">
        <v>45</v>
      </c>
    </row>
    <row r="40" spans="1:14" x14ac:dyDescent="0.3">
      <c r="A40" s="10">
        <v>414</v>
      </c>
      <c r="B40" s="6">
        <v>44562</v>
      </c>
      <c r="C40" s="21" t="s">
        <v>64</v>
      </c>
      <c r="D40" s="21" t="s">
        <v>65</v>
      </c>
      <c r="E40" s="21" t="s">
        <v>66</v>
      </c>
      <c r="F40" s="21" t="s">
        <v>87</v>
      </c>
      <c r="G40" s="21" t="s">
        <v>68</v>
      </c>
      <c r="H40" s="21" t="s">
        <v>69</v>
      </c>
      <c r="I40" s="19">
        <v>60</v>
      </c>
      <c r="J40" s="19">
        <v>180</v>
      </c>
      <c r="K40" s="19">
        <v>25</v>
      </c>
      <c r="L40" s="19">
        <v>51</v>
      </c>
      <c r="M40" s="19">
        <v>180</v>
      </c>
      <c r="N40" s="19">
        <v>52</v>
      </c>
    </row>
    <row r="41" spans="1:14" x14ac:dyDescent="0.3">
      <c r="A41" s="10">
        <v>985</v>
      </c>
      <c r="B41" s="6">
        <v>44562</v>
      </c>
      <c r="C41" s="21" t="s">
        <v>64</v>
      </c>
      <c r="D41" s="21" t="s">
        <v>65</v>
      </c>
      <c r="E41" s="21" t="s">
        <v>66</v>
      </c>
      <c r="F41" s="21" t="s">
        <v>88</v>
      </c>
      <c r="G41" s="21" t="s">
        <v>74</v>
      </c>
      <c r="H41" s="21" t="s">
        <v>69</v>
      </c>
      <c r="I41" s="19">
        <v>50</v>
      </c>
      <c r="J41" s="19">
        <v>100</v>
      </c>
      <c r="K41" s="19">
        <v>9</v>
      </c>
      <c r="L41" s="19">
        <v>28</v>
      </c>
      <c r="M41" s="19">
        <v>81</v>
      </c>
      <c r="N41" s="19">
        <v>20</v>
      </c>
    </row>
    <row r="42" spans="1:14" x14ac:dyDescent="0.3">
      <c r="A42" s="10">
        <v>505</v>
      </c>
      <c r="B42" s="6">
        <v>44562</v>
      </c>
      <c r="C42" s="21" t="s">
        <v>64</v>
      </c>
      <c r="D42" s="21" t="s">
        <v>65</v>
      </c>
      <c r="E42" s="21" t="s">
        <v>66</v>
      </c>
      <c r="F42" s="21" t="s">
        <v>24</v>
      </c>
      <c r="G42" s="21" t="s">
        <v>74</v>
      </c>
      <c r="H42" s="21" t="s">
        <v>69</v>
      </c>
      <c r="I42" s="19">
        <v>-30</v>
      </c>
      <c r="J42" s="19">
        <v>120</v>
      </c>
      <c r="K42" s="19">
        <v>27</v>
      </c>
      <c r="L42" s="19">
        <v>-39</v>
      </c>
      <c r="M42" s="19">
        <v>99</v>
      </c>
      <c r="N42" s="19">
        <v>50</v>
      </c>
    </row>
    <row r="43" spans="1:14" x14ac:dyDescent="0.3">
      <c r="A43" s="10">
        <v>580</v>
      </c>
      <c r="B43" s="6">
        <v>44562</v>
      </c>
      <c r="C43" s="21" t="s">
        <v>64</v>
      </c>
      <c r="D43" s="21" t="s">
        <v>65</v>
      </c>
      <c r="E43" s="21" t="s">
        <v>66</v>
      </c>
      <c r="F43" s="21" t="s">
        <v>89</v>
      </c>
      <c r="G43" s="21" t="s">
        <v>74</v>
      </c>
      <c r="H43" s="21" t="s">
        <v>69</v>
      </c>
      <c r="I43" s="19">
        <v>50</v>
      </c>
      <c r="J43" s="19">
        <v>100</v>
      </c>
      <c r="K43" s="19">
        <v>8</v>
      </c>
      <c r="L43" s="19">
        <v>28</v>
      </c>
      <c r="M43" s="19">
        <v>80</v>
      </c>
      <c r="N43" s="19">
        <v>20</v>
      </c>
    </row>
    <row r="44" spans="1:14" x14ac:dyDescent="0.3">
      <c r="A44" s="10">
        <v>775</v>
      </c>
      <c r="B44" s="6">
        <v>44562</v>
      </c>
      <c r="C44" s="21" t="s">
        <v>64</v>
      </c>
      <c r="D44" s="21" t="s">
        <v>65</v>
      </c>
      <c r="E44" s="21" t="s">
        <v>66</v>
      </c>
      <c r="F44" s="21" t="s">
        <v>15</v>
      </c>
      <c r="G44" s="21" t="s">
        <v>76</v>
      </c>
      <c r="H44" s="21" t="s">
        <v>69</v>
      </c>
      <c r="I44" s="19">
        <v>20</v>
      </c>
      <c r="J44" s="19">
        <v>70</v>
      </c>
      <c r="K44" s="19">
        <v>8</v>
      </c>
      <c r="L44" s="19">
        <v>4</v>
      </c>
      <c r="M44" s="19">
        <v>62</v>
      </c>
      <c r="N44" s="19">
        <v>30</v>
      </c>
    </row>
    <row r="45" spans="1:14" x14ac:dyDescent="0.3">
      <c r="A45" s="10">
        <v>971</v>
      </c>
      <c r="B45" s="6">
        <v>44562</v>
      </c>
      <c r="C45" s="21" t="s">
        <v>64</v>
      </c>
      <c r="D45" s="21" t="s">
        <v>65</v>
      </c>
      <c r="E45" s="21" t="s">
        <v>66</v>
      </c>
      <c r="F45" s="21" t="s">
        <v>90</v>
      </c>
      <c r="G45" s="21" t="s">
        <v>76</v>
      </c>
      <c r="H45" s="21" t="s">
        <v>69</v>
      </c>
      <c r="I45" s="19">
        <v>70</v>
      </c>
      <c r="J45" s="19">
        <v>170</v>
      </c>
      <c r="K45" s="19">
        <v>18</v>
      </c>
      <c r="L45" s="19">
        <v>42</v>
      </c>
      <c r="M45" s="19">
        <v>140</v>
      </c>
      <c r="N45" s="19">
        <v>41</v>
      </c>
    </row>
    <row r="46" spans="1:14" x14ac:dyDescent="0.3">
      <c r="A46" s="10">
        <v>801</v>
      </c>
      <c r="B46" s="6">
        <v>44562</v>
      </c>
      <c r="C46" s="21" t="s">
        <v>64</v>
      </c>
      <c r="D46" s="21" t="s">
        <v>65</v>
      </c>
      <c r="E46" s="21" t="s">
        <v>66</v>
      </c>
      <c r="F46" s="21" t="s">
        <v>91</v>
      </c>
      <c r="G46" s="21" t="s">
        <v>76</v>
      </c>
      <c r="H46" s="21" t="s">
        <v>69</v>
      </c>
      <c r="I46" s="19">
        <v>70</v>
      </c>
      <c r="J46" s="19">
        <v>230</v>
      </c>
      <c r="K46" s="19">
        <v>32</v>
      </c>
      <c r="L46" s="19">
        <v>39</v>
      </c>
      <c r="M46" s="19">
        <v>190</v>
      </c>
      <c r="N46" s="19">
        <v>66</v>
      </c>
    </row>
    <row r="47" spans="1:14" x14ac:dyDescent="0.3">
      <c r="A47" s="10">
        <v>509</v>
      </c>
      <c r="B47" s="6">
        <v>44562</v>
      </c>
      <c r="C47" s="21" t="s">
        <v>64</v>
      </c>
      <c r="D47" s="21" t="s">
        <v>65</v>
      </c>
      <c r="E47" s="21" t="s">
        <v>66</v>
      </c>
      <c r="F47" s="21" t="s">
        <v>92</v>
      </c>
      <c r="G47" s="21" t="s">
        <v>76</v>
      </c>
      <c r="H47" s="21" t="s">
        <v>69</v>
      </c>
      <c r="I47" s="19">
        <v>60</v>
      </c>
      <c r="J47" s="19">
        <v>230</v>
      </c>
      <c r="K47" s="19">
        <v>72</v>
      </c>
      <c r="L47" s="19">
        <v>9</v>
      </c>
      <c r="M47" s="19">
        <v>190</v>
      </c>
      <c r="N47" s="19">
        <v>102</v>
      </c>
    </row>
    <row r="48" spans="1:14" x14ac:dyDescent="0.3">
      <c r="A48" s="10">
        <v>563</v>
      </c>
      <c r="B48" s="6">
        <v>44562</v>
      </c>
      <c r="C48" s="21" t="s">
        <v>77</v>
      </c>
      <c r="D48" s="21" t="s">
        <v>65</v>
      </c>
      <c r="E48" s="21" t="s">
        <v>78</v>
      </c>
      <c r="F48" s="21" t="s">
        <v>12</v>
      </c>
      <c r="G48" s="21" t="s">
        <v>68</v>
      </c>
      <c r="H48" s="21" t="s">
        <v>69</v>
      </c>
      <c r="I48" s="19">
        <v>30</v>
      </c>
      <c r="J48" s="19">
        <v>50</v>
      </c>
      <c r="K48" s="19">
        <v>4</v>
      </c>
      <c r="L48" s="19">
        <v>10</v>
      </c>
      <c r="M48" s="19">
        <v>43</v>
      </c>
      <c r="N48" s="19">
        <v>16</v>
      </c>
    </row>
    <row r="49" spans="1:14" x14ac:dyDescent="0.3">
      <c r="A49" s="10">
        <v>660</v>
      </c>
      <c r="B49" s="6">
        <v>44562</v>
      </c>
      <c r="C49" s="21" t="s">
        <v>77</v>
      </c>
      <c r="D49" s="21" t="s">
        <v>65</v>
      </c>
      <c r="E49" s="21" t="s">
        <v>78</v>
      </c>
      <c r="F49" s="21" t="s">
        <v>86</v>
      </c>
      <c r="G49" s="21" t="s">
        <v>68</v>
      </c>
      <c r="H49" s="21" t="s">
        <v>69</v>
      </c>
      <c r="I49" s="19">
        <v>60</v>
      </c>
      <c r="J49" s="19">
        <v>130</v>
      </c>
      <c r="K49" s="19">
        <v>12</v>
      </c>
      <c r="L49" s="19">
        <v>45</v>
      </c>
      <c r="M49" s="19">
        <v>114</v>
      </c>
      <c r="N49" s="19">
        <v>23</v>
      </c>
    </row>
    <row r="50" spans="1:14" x14ac:dyDescent="0.3">
      <c r="A50" s="10">
        <v>262</v>
      </c>
      <c r="B50" s="6">
        <v>44562</v>
      </c>
      <c r="C50" s="21" t="s">
        <v>77</v>
      </c>
      <c r="D50" s="21" t="s">
        <v>65</v>
      </c>
      <c r="E50" s="21" t="s">
        <v>78</v>
      </c>
      <c r="F50" s="21" t="s">
        <v>87</v>
      </c>
      <c r="G50" s="21" t="s">
        <v>68</v>
      </c>
      <c r="H50" s="21" t="s">
        <v>69</v>
      </c>
      <c r="I50" s="19">
        <v>50</v>
      </c>
      <c r="J50" s="19">
        <v>120</v>
      </c>
      <c r="K50" s="19">
        <v>15</v>
      </c>
      <c r="L50" s="19">
        <v>34</v>
      </c>
      <c r="M50" s="19">
        <v>110</v>
      </c>
      <c r="N50" s="19">
        <v>28</v>
      </c>
    </row>
    <row r="51" spans="1:14" x14ac:dyDescent="0.3">
      <c r="A51" s="10">
        <v>475</v>
      </c>
      <c r="B51" s="6">
        <v>44562</v>
      </c>
      <c r="C51" s="21" t="s">
        <v>77</v>
      </c>
      <c r="D51" s="21" t="s">
        <v>65</v>
      </c>
      <c r="E51" s="21" t="s">
        <v>78</v>
      </c>
      <c r="F51" s="21" t="s">
        <v>93</v>
      </c>
      <c r="G51" s="21" t="s">
        <v>72</v>
      </c>
      <c r="H51" s="21" t="s">
        <v>69</v>
      </c>
      <c r="I51" s="19">
        <v>40</v>
      </c>
      <c r="J51" s="19">
        <v>120</v>
      </c>
      <c r="K51" s="19">
        <v>18</v>
      </c>
      <c r="L51" s="19">
        <v>30</v>
      </c>
      <c r="M51" s="19">
        <v>130</v>
      </c>
      <c r="N51" s="19">
        <v>45</v>
      </c>
    </row>
    <row r="52" spans="1:14" x14ac:dyDescent="0.3">
      <c r="A52" s="10">
        <v>337</v>
      </c>
      <c r="B52" s="6">
        <v>44562</v>
      </c>
      <c r="C52" s="21" t="s">
        <v>77</v>
      </c>
      <c r="D52" s="21" t="s">
        <v>65</v>
      </c>
      <c r="E52" s="21" t="s">
        <v>78</v>
      </c>
      <c r="F52" s="21" t="s">
        <v>88</v>
      </c>
      <c r="G52" s="21" t="s">
        <v>74</v>
      </c>
      <c r="H52" s="21" t="s">
        <v>69</v>
      </c>
      <c r="I52" s="19">
        <v>50</v>
      </c>
      <c r="J52" s="19">
        <v>120</v>
      </c>
      <c r="K52" s="19">
        <v>19</v>
      </c>
      <c r="L52" s="19">
        <v>48</v>
      </c>
      <c r="M52" s="19">
        <v>150</v>
      </c>
      <c r="N52" s="19">
        <v>41</v>
      </c>
    </row>
    <row r="53" spans="1:14" x14ac:dyDescent="0.3">
      <c r="A53" s="10">
        <v>505</v>
      </c>
      <c r="B53" s="6">
        <v>44562</v>
      </c>
      <c r="C53" s="21" t="s">
        <v>77</v>
      </c>
      <c r="D53" s="21" t="s">
        <v>65</v>
      </c>
      <c r="E53" s="21" t="s">
        <v>78</v>
      </c>
      <c r="F53" s="21" t="s">
        <v>24</v>
      </c>
      <c r="G53" s="21" t="s">
        <v>74</v>
      </c>
      <c r="H53" s="21" t="s">
        <v>69</v>
      </c>
      <c r="I53" s="19">
        <v>10</v>
      </c>
      <c r="J53" s="19">
        <v>70</v>
      </c>
      <c r="K53" s="19">
        <v>11</v>
      </c>
      <c r="L53" s="19">
        <v>9</v>
      </c>
      <c r="M53" s="19">
        <v>82</v>
      </c>
      <c r="N53" s="19">
        <v>38</v>
      </c>
    </row>
    <row r="54" spans="1:14" x14ac:dyDescent="0.3">
      <c r="A54" s="10">
        <v>405</v>
      </c>
      <c r="B54" s="6">
        <v>44562</v>
      </c>
      <c r="C54" s="21" t="s">
        <v>77</v>
      </c>
      <c r="D54" s="21" t="s">
        <v>65</v>
      </c>
      <c r="E54" s="21" t="s">
        <v>78</v>
      </c>
      <c r="F54" s="21" t="s">
        <v>89</v>
      </c>
      <c r="G54" s="21" t="s">
        <v>74</v>
      </c>
      <c r="H54" s="21" t="s">
        <v>69</v>
      </c>
      <c r="I54" s="19">
        <v>70</v>
      </c>
      <c r="J54" s="19">
        <v>180</v>
      </c>
      <c r="K54" s="19">
        <v>27</v>
      </c>
      <c r="L54" s="19">
        <v>67</v>
      </c>
      <c r="M54" s="19">
        <v>210</v>
      </c>
      <c r="N54" s="19">
        <v>59</v>
      </c>
    </row>
    <row r="55" spans="1:14" x14ac:dyDescent="0.3">
      <c r="A55" s="10">
        <v>775</v>
      </c>
      <c r="B55" s="6">
        <v>44562</v>
      </c>
      <c r="C55" s="21" t="s">
        <v>77</v>
      </c>
      <c r="D55" s="21" t="s">
        <v>65</v>
      </c>
      <c r="E55" s="21" t="s">
        <v>78</v>
      </c>
      <c r="F55" s="21" t="s">
        <v>15</v>
      </c>
      <c r="G55" s="21" t="s">
        <v>76</v>
      </c>
      <c r="H55" s="21" t="s">
        <v>69</v>
      </c>
      <c r="I55" s="19">
        <v>20</v>
      </c>
      <c r="J55" s="19">
        <v>40</v>
      </c>
      <c r="K55" s="19">
        <v>4</v>
      </c>
      <c r="L55" s="19">
        <v>11</v>
      </c>
      <c r="M55" s="19">
        <v>43</v>
      </c>
      <c r="N55" s="19">
        <v>15</v>
      </c>
    </row>
    <row r="56" spans="1:14" x14ac:dyDescent="0.3">
      <c r="A56" s="10">
        <v>971</v>
      </c>
      <c r="B56" s="6">
        <v>44562</v>
      </c>
      <c r="C56" s="21" t="s">
        <v>77</v>
      </c>
      <c r="D56" s="21" t="s">
        <v>65</v>
      </c>
      <c r="E56" s="21" t="s">
        <v>78</v>
      </c>
      <c r="F56" s="21" t="s">
        <v>90</v>
      </c>
      <c r="G56" s="21" t="s">
        <v>76</v>
      </c>
      <c r="H56" s="21" t="s">
        <v>69</v>
      </c>
      <c r="I56" s="19">
        <v>100</v>
      </c>
      <c r="J56" s="19">
        <v>320</v>
      </c>
      <c r="K56" s="19">
        <v>47</v>
      </c>
      <c r="L56" s="19">
        <v>99</v>
      </c>
      <c r="M56" s="19">
        <v>341</v>
      </c>
      <c r="N56" s="19">
        <v>72</v>
      </c>
    </row>
    <row r="57" spans="1:14" x14ac:dyDescent="0.3">
      <c r="A57" s="10">
        <v>435</v>
      </c>
      <c r="B57" s="6">
        <v>44562</v>
      </c>
      <c r="C57" s="21" t="s">
        <v>77</v>
      </c>
      <c r="D57" s="21" t="s">
        <v>65</v>
      </c>
      <c r="E57" s="21" t="s">
        <v>78</v>
      </c>
      <c r="F57" s="21" t="s">
        <v>91</v>
      </c>
      <c r="G57" s="21" t="s">
        <v>76</v>
      </c>
      <c r="H57" s="21" t="s">
        <v>69</v>
      </c>
      <c r="I57" s="19">
        <v>50</v>
      </c>
      <c r="J57" s="19">
        <v>110</v>
      </c>
      <c r="K57" s="19">
        <v>14</v>
      </c>
      <c r="L57" s="19">
        <v>47</v>
      </c>
      <c r="M57" s="19">
        <v>123</v>
      </c>
      <c r="N57" s="19">
        <v>26</v>
      </c>
    </row>
    <row r="58" spans="1:14" x14ac:dyDescent="0.3">
      <c r="A58" s="10">
        <v>206</v>
      </c>
      <c r="B58" s="6">
        <v>44562</v>
      </c>
      <c r="C58" s="21" t="s">
        <v>77</v>
      </c>
      <c r="D58" s="21" t="s">
        <v>65</v>
      </c>
      <c r="E58" s="21" t="s">
        <v>78</v>
      </c>
      <c r="F58" s="21" t="s">
        <v>92</v>
      </c>
      <c r="G58" s="21" t="s">
        <v>76</v>
      </c>
      <c r="H58" s="21" t="s">
        <v>69</v>
      </c>
      <c r="I58" s="19">
        <v>60</v>
      </c>
      <c r="J58" s="19">
        <v>140</v>
      </c>
      <c r="K58" s="19">
        <v>21</v>
      </c>
      <c r="L58" s="19">
        <v>39</v>
      </c>
      <c r="M58" s="19">
        <v>150</v>
      </c>
      <c r="N58" s="19">
        <v>42</v>
      </c>
    </row>
    <row r="59" spans="1:14" x14ac:dyDescent="0.3">
      <c r="A59" s="10">
        <v>319</v>
      </c>
      <c r="B59" s="6">
        <v>44562</v>
      </c>
      <c r="C59" s="21" t="s">
        <v>79</v>
      </c>
      <c r="D59" s="21" t="s">
        <v>65</v>
      </c>
      <c r="E59" s="21" t="s">
        <v>66</v>
      </c>
      <c r="F59" s="21" t="s">
        <v>12</v>
      </c>
      <c r="G59" s="21" t="s">
        <v>68</v>
      </c>
      <c r="H59" s="21" t="s">
        <v>80</v>
      </c>
      <c r="I59" s="19">
        <v>20</v>
      </c>
      <c r="J59" s="19">
        <v>40</v>
      </c>
      <c r="K59" s="19">
        <v>5</v>
      </c>
      <c r="L59" s="19">
        <v>11</v>
      </c>
      <c r="M59" s="19">
        <v>45</v>
      </c>
      <c r="N59" s="19">
        <v>16</v>
      </c>
    </row>
    <row r="60" spans="1:14" x14ac:dyDescent="0.3">
      <c r="A60" s="10">
        <v>262</v>
      </c>
      <c r="B60" s="6">
        <v>44562</v>
      </c>
      <c r="C60" s="21" t="s">
        <v>79</v>
      </c>
      <c r="D60" s="21" t="s">
        <v>65</v>
      </c>
      <c r="E60" s="21" t="s">
        <v>66</v>
      </c>
      <c r="F60" s="21" t="s">
        <v>87</v>
      </c>
      <c r="G60" s="21" t="s">
        <v>68</v>
      </c>
      <c r="H60" s="21" t="s">
        <v>80</v>
      </c>
      <c r="I60" s="19">
        <v>30</v>
      </c>
      <c r="J60" s="19">
        <v>120</v>
      </c>
      <c r="K60" s="19">
        <v>20</v>
      </c>
      <c r="L60" s="19">
        <v>13</v>
      </c>
      <c r="M60" s="19">
        <v>120</v>
      </c>
      <c r="N60" s="19">
        <v>53</v>
      </c>
    </row>
    <row r="61" spans="1:14" x14ac:dyDescent="0.3">
      <c r="A61" s="10">
        <v>641</v>
      </c>
      <c r="B61" s="6">
        <v>44562</v>
      </c>
      <c r="C61" s="21" t="s">
        <v>81</v>
      </c>
      <c r="D61" s="21" t="s">
        <v>65</v>
      </c>
      <c r="E61" s="21" t="s">
        <v>66</v>
      </c>
      <c r="F61" s="21" t="s">
        <v>12</v>
      </c>
      <c r="G61" s="21" t="s">
        <v>68</v>
      </c>
      <c r="H61" s="21" t="s">
        <v>80</v>
      </c>
      <c r="I61" s="19">
        <v>20</v>
      </c>
      <c r="J61" s="19">
        <v>60</v>
      </c>
      <c r="K61" s="19">
        <v>8</v>
      </c>
      <c r="L61" s="19">
        <v>5</v>
      </c>
      <c r="M61" s="19">
        <v>62</v>
      </c>
      <c r="N61" s="19">
        <v>29</v>
      </c>
    </row>
    <row r="62" spans="1:14" x14ac:dyDescent="0.3">
      <c r="A62" s="10">
        <v>636</v>
      </c>
      <c r="B62" s="6">
        <v>44562</v>
      </c>
      <c r="C62" s="21" t="s">
        <v>81</v>
      </c>
      <c r="D62" s="21" t="s">
        <v>65</v>
      </c>
      <c r="E62" s="21" t="s">
        <v>66</v>
      </c>
      <c r="F62" s="21" t="s">
        <v>86</v>
      </c>
      <c r="G62" s="21" t="s">
        <v>68</v>
      </c>
      <c r="H62" s="21" t="s">
        <v>80</v>
      </c>
      <c r="I62" s="19">
        <v>40</v>
      </c>
      <c r="J62" s="19">
        <v>190</v>
      </c>
      <c r="K62" s="19">
        <v>32</v>
      </c>
      <c r="L62" s="19">
        <v>39</v>
      </c>
      <c r="M62" s="19">
        <v>190</v>
      </c>
      <c r="N62" s="19">
        <v>66</v>
      </c>
    </row>
    <row r="63" spans="1:14" x14ac:dyDescent="0.3">
      <c r="A63" s="10">
        <v>262</v>
      </c>
      <c r="B63" s="6">
        <v>44562</v>
      </c>
      <c r="C63" s="21" t="s">
        <v>81</v>
      </c>
      <c r="D63" s="21" t="s">
        <v>65</v>
      </c>
      <c r="E63" s="21" t="s">
        <v>66</v>
      </c>
      <c r="F63" s="21" t="s">
        <v>87</v>
      </c>
      <c r="G63" s="21" t="s">
        <v>68</v>
      </c>
      <c r="H63" s="21" t="s">
        <v>80</v>
      </c>
      <c r="I63" s="19">
        <v>20</v>
      </c>
      <c r="J63" s="19">
        <v>190</v>
      </c>
      <c r="K63" s="19">
        <v>72</v>
      </c>
      <c r="L63" s="19">
        <v>9</v>
      </c>
      <c r="M63" s="19">
        <v>190</v>
      </c>
      <c r="N63" s="19">
        <v>102</v>
      </c>
    </row>
    <row r="64" spans="1:14" x14ac:dyDescent="0.3">
      <c r="A64" s="10">
        <v>603</v>
      </c>
      <c r="B64" s="6">
        <v>44562</v>
      </c>
      <c r="C64" s="21" t="s">
        <v>79</v>
      </c>
      <c r="D64" s="21" t="s">
        <v>65</v>
      </c>
      <c r="E64" s="21" t="s">
        <v>66</v>
      </c>
      <c r="F64" s="21" t="s">
        <v>18</v>
      </c>
      <c r="G64" s="21" t="s">
        <v>72</v>
      </c>
      <c r="H64" s="21" t="s">
        <v>80</v>
      </c>
      <c r="I64" s="19">
        <v>30</v>
      </c>
      <c r="J64" s="19">
        <v>80</v>
      </c>
      <c r="K64" s="19">
        <v>12</v>
      </c>
      <c r="L64" s="19">
        <v>20</v>
      </c>
      <c r="M64" s="19">
        <v>93</v>
      </c>
      <c r="N64" s="19">
        <v>35</v>
      </c>
    </row>
    <row r="65" spans="1:14" x14ac:dyDescent="0.3">
      <c r="A65" s="10">
        <v>475</v>
      </c>
      <c r="B65" s="6">
        <v>44562</v>
      </c>
      <c r="C65" s="21" t="s">
        <v>81</v>
      </c>
      <c r="D65" s="21" t="s">
        <v>65</v>
      </c>
      <c r="E65" s="21" t="s">
        <v>66</v>
      </c>
      <c r="F65" s="21" t="s">
        <v>93</v>
      </c>
      <c r="G65" s="21" t="s">
        <v>72</v>
      </c>
      <c r="H65" s="21" t="s">
        <v>80</v>
      </c>
      <c r="I65" s="19">
        <v>130</v>
      </c>
      <c r="J65" s="19">
        <v>290</v>
      </c>
      <c r="K65" s="19">
        <v>40</v>
      </c>
      <c r="L65" s="19">
        <v>115</v>
      </c>
      <c r="M65" s="19">
        <v>310</v>
      </c>
      <c r="N65" s="19">
        <v>71</v>
      </c>
    </row>
    <row r="66" spans="1:14" x14ac:dyDescent="0.3">
      <c r="A66" s="10">
        <v>603</v>
      </c>
      <c r="B66" s="6">
        <v>44562</v>
      </c>
      <c r="C66" s="21" t="s">
        <v>81</v>
      </c>
      <c r="D66" s="21" t="s">
        <v>65</v>
      </c>
      <c r="E66" s="21" t="s">
        <v>66</v>
      </c>
      <c r="F66" s="21" t="s">
        <v>18</v>
      </c>
      <c r="G66" s="21" t="s">
        <v>72</v>
      </c>
      <c r="H66" s="21" t="s">
        <v>80</v>
      </c>
      <c r="I66" s="19">
        <v>40</v>
      </c>
      <c r="J66" s="19">
        <v>110</v>
      </c>
      <c r="K66" s="19">
        <v>15</v>
      </c>
      <c r="L66" s="19">
        <v>25</v>
      </c>
      <c r="M66" s="19">
        <v>120</v>
      </c>
      <c r="N66" s="19">
        <v>47</v>
      </c>
    </row>
    <row r="67" spans="1:14" x14ac:dyDescent="0.3">
      <c r="A67" s="10">
        <v>225</v>
      </c>
      <c r="B67" s="6">
        <v>44562</v>
      </c>
      <c r="C67" s="21" t="s">
        <v>81</v>
      </c>
      <c r="D67" s="21" t="s">
        <v>65</v>
      </c>
      <c r="E67" s="21" t="s">
        <v>66</v>
      </c>
      <c r="F67" s="21" t="s">
        <v>88</v>
      </c>
      <c r="G67" s="21" t="s">
        <v>74</v>
      </c>
      <c r="H67" s="21" t="s">
        <v>80</v>
      </c>
      <c r="I67" s="19">
        <v>50</v>
      </c>
      <c r="J67" s="19">
        <v>100</v>
      </c>
      <c r="K67" s="19">
        <v>9</v>
      </c>
      <c r="L67" s="19">
        <v>30</v>
      </c>
      <c r="M67" s="19">
        <v>85</v>
      </c>
      <c r="N67" s="19">
        <v>21</v>
      </c>
    </row>
    <row r="68" spans="1:14" x14ac:dyDescent="0.3">
      <c r="A68" s="10">
        <v>505</v>
      </c>
      <c r="B68" s="6">
        <v>44562</v>
      </c>
      <c r="C68" s="21" t="s">
        <v>81</v>
      </c>
      <c r="D68" s="21" t="s">
        <v>65</v>
      </c>
      <c r="E68" s="21" t="s">
        <v>66</v>
      </c>
      <c r="F68" s="21" t="s">
        <v>24</v>
      </c>
      <c r="G68" s="21" t="s">
        <v>74</v>
      </c>
      <c r="H68" s="21" t="s">
        <v>80</v>
      </c>
      <c r="I68" s="19">
        <v>50</v>
      </c>
      <c r="J68" s="19">
        <v>150</v>
      </c>
      <c r="K68" s="19">
        <v>15</v>
      </c>
      <c r="L68" s="19">
        <v>26</v>
      </c>
      <c r="M68" s="19">
        <v>120</v>
      </c>
      <c r="N68" s="19">
        <v>46</v>
      </c>
    </row>
    <row r="69" spans="1:14" x14ac:dyDescent="0.3">
      <c r="A69" s="10">
        <v>580</v>
      </c>
      <c r="B69" s="6">
        <v>44562</v>
      </c>
      <c r="C69" s="21" t="s">
        <v>81</v>
      </c>
      <c r="D69" s="21" t="s">
        <v>65</v>
      </c>
      <c r="E69" s="21" t="s">
        <v>66</v>
      </c>
      <c r="F69" s="21" t="s">
        <v>89</v>
      </c>
      <c r="G69" s="21" t="s">
        <v>74</v>
      </c>
      <c r="H69" s="21" t="s">
        <v>80</v>
      </c>
      <c r="I69" s="19">
        <v>50</v>
      </c>
      <c r="J69" s="19">
        <v>120</v>
      </c>
      <c r="K69" s="19">
        <v>14</v>
      </c>
      <c r="L69" s="19">
        <v>29</v>
      </c>
      <c r="M69" s="19">
        <v>100</v>
      </c>
      <c r="N69" s="19">
        <v>27</v>
      </c>
    </row>
    <row r="70" spans="1:14" x14ac:dyDescent="0.3">
      <c r="A70" s="10">
        <v>541</v>
      </c>
      <c r="B70" s="6">
        <v>44562</v>
      </c>
      <c r="C70" s="21" t="s">
        <v>79</v>
      </c>
      <c r="D70" s="21" t="s">
        <v>65</v>
      </c>
      <c r="E70" s="21" t="s">
        <v>66</v>
      </c>
      <c r="F70" s="21" t="s">
        <v>90</v>
      </c>
      <c r="G70" s="21" t="s">
        <v>76</v>
      </c>
      <c r="H70" s="21" t="s">
        <v>80</v>
      </c>
      <c r="I70" s="19">
        <v>40</v>
      </c>
      <c r="J70" s="19">
        <v>180</v>
      </c>
      <c r="K70" s="19">
        <v>57</v>
      </c>
      <c r="L70" s="19">
        <v>1</v>
      </c>
      <c r="M70" s="19">
        <v>150</v>
      </c>
      <c r="N70" s="19">
        <v>86</v>
      </c>
    </row>
    <row r="71" spans="1:14" x14ac:dyDescent="0.3">
      <c r="A71" s="10">
        <v>801</v>
      </c>
      <c r="B71" s="6">
        <v>44562</v>
      </c>
      <c r="C71" s="21" t="s">
        <v>79</v>
      </c>
      <c r="D71" s="21" t="s">
        <v>65</v>
      </c>
      <c r="E71" s="21" t="s">
        <v>66</v>
      </c>
      <c r="F71" s="21" t="s">
        <v>91</v>
      </c>
      <c r="G71" s="21" t="s">
        <v>76</v>
      </c>
      <c r="H71" s="21" t="s">
        <v>80</v>
      </c>
      <c r="I71" s="19">
        <v>80</v>
      </c>
      <c r="J71" s="19">
        <v>210</v>
      </c>
      <c r="K71" s="19">
        <v>24</v>
      </c>
      <c r="L71" s="19">
        <v>47</v>
      </c>
      <c r="M71" s="19">
        <v>170</v>
      </c>
      <c r="N71" s="19">
        <v>45</v>
      </c>
    </row>
    <row r="72" spans="1:14" x14ac:dyDescent="0.3">
      <c r="A72" s="10">
        <v>702</v>
      </c>
      <c r="B72" s="6">
        <v>44562</v>
      </c>
      <c r="C72" s="21" t="s">
        <v>81</v>
      </c>
      <c r="D72" s="21" t="s">
        <v>65</v>
      </c>
      <c r="E72" s="21" t="s">
        <v>66</v>
      </c>
      <c r="F72" s="21" t="s">
        <v>15</v>
      </c>
      <c r="G72" s="21" t="s">
        <v>76</v>
      </c>
      <c r="H72" s="21" t="s">
        <v>80</v>
      </c>
      <c r="I72" s="19">
        <v>10</v>
      </c>
      <c r="J72" s="19">
        <v>90</v>
      </c>
      <c r="K72" s="19">
        <v>12</v>
      </c>
      <c r="L72" s="19">
        <v>-3</v>
      </c>
      <c r="M72" s="19">
        <v>76</v>
      </c>
      <c r="N72" s="19">
        <v>45</v>
      </c>
    </row>
    <row r="73" spans="1:14" x14ac:dyDescent="0.3">
      <c r="A73" s="10">
        <v>503</v>
      </c>
      <c r="B73" s="6">
        <v>44562</v>
      </c>
      <c r="C73" s="21" t="s">
        <v>81</v>
      </c>
      <c r="D73" s="21" t="s">
        <v>65</v>
      </c>
      <c r="E73" s="21" t="s">
        <v>66</v>
      </c>
      <c r="F73" s="21" t="s">
        <v>90</v>
      </c>
      <c r="G73" s="21" t="s">
        <v>76</v>
      </c>
      <c r="H73" s="21" t="s">
        <v>80</v>
      </c>
      <c r="I73" s="19">
        <v>60</v>
      </c>
      <c r="J73" s="19">
        <v>200</v>
      </c>
      <c r="K73" s="19">
        <v>22</v>
      </c>
      <c r="L73" s="19">
        <v>28</v>
      </c>
      <c r="M73" s="19">
        <v>160</v>
      </c>
      <c r="N73" s="19">
        <v>65</v>
      </c>
    </row>
    <row r="74" spans="1:14" x14ac:dyDescent="0.3">
      <c r="A74" s="10">
        <v>435</v>
      </c>
      <c r="B74" s="6">
        <v>44562</v>
      </c>
      <c r="C74" s="21" t="s">
        <v>81</v>
      </c>
      <c r="D74" s="21" t="s">
        <v>65</v>
      </c>
      <c r="E74" s="21" t="s">
        <v>66</v>
      </c>
      <c r="F74" s="21" t="s">
        <v>91</v>
      </c>
      <c r="G74" s="21" t="s">
        <v>76</v>
      </c>
      <c r="H74" s="21" t="s">
        <v>80</v>
      </c>
      <c r="I74" s="19">
        <v>70</v>
      </c>
      <c r="J74" s="19">
        <v>160</v>
      </c>
      <c r="K74" s="19">
        <v>18</v>
      </c>
      <c r="L74" s="19">
        <v>30</v>
      </c>
      <c r="M74" s="19">
        <v>130</v>
      </c>
      <c r="N74" s="19">
        <v>45</v>
      </c>
    </row>
    <row r="75" spans="1:14" x14ac:dyDescent="0.3">
      <c r="A75" s="10">
        <v>206</v>
      </c>
      <c r="B75" s="6">
        <v>44562</v>
      </c>
      <c r="C75" s="21" t="s">
        <v>81</v>
      </c>
      <c r="D75" s="21" t="s">
        <v>65</v>
      </c>
      <c r="E75" s="21" t="s">
        <v>66</v>
      </c>
      <c r="F75" s="21" t="s">
        <v>92</v>
      </c>
      <c r="G75" s="21" t="s">
        <v>76</v>
      </c>
      <c r="H75" s="21" t="s">
        <v>80</v>
      </c>
      <c r="I75" s="19">
        <v>70</v>
      </c>
      <c r="J75" s="19">
        <v>160</v>
      </c>
      <c r="K75" s="19">
        <v>16</v>
      </c>
      <c r="L75" s="19">
        <v>38</v>
      </c>
      <c r="M75" s="19">
        <v>130</v>
      </c>
      <c r="N75" s="19">
        <v>39</v>
      </c>
    </row>
    <row r="76" spans="1:14" x14ac:dyDescent="0.3">
      <c r="A76" s="10">
        <v>563</v>
      </c>
      <c r="B76" s="6">
        <v>44562</v>
      </c>
      <c r="C76" s="21" t="s">
        <v>83</v>
      </c>
      <c r="D76" s="21" t="s">
        <v>65</v>
      </c>
      <c r="E76" s="21" t="s">
        <v>78</v>
      </c>
      <c r="F76" s="21" t="s">
        <v>12</v>
      </c>
      <c r="G76" s="21" t="s">
        <v>68</v>
      </c>
      <c r="H76" s="21" t="s">
        <v>80</v>
      </c>
      <c r="I76" s="19">
        <v>30</v>
      </c>
      <c r="J76" s="19">
        <v>50</v>
      </c>
      <c r="K76" s="19">
        <v>4</v>
      </c>
      <c r="L76" s="19">
        <v>11</v>
      </c>
      <c r="M76" s="19">
        <v>43</v>
      </c>
      <c r="N76" s="19">
        <v>15</v>
      </c>
    </row>
    <row r="77" spans="1:14" x14ac:dyDescent="0.3">
      <c r="A77" s="10">
        <v>573</v>
      </c>
      <c r="B77" s="6">
        <v>44562</v>
      </c>
      <c r="C77" s="21" t="s">
        <v>83</v>
      </c>
      <c r="D77" s="21" t="s">
        <v>65</v>
      </c>
      <c r="E77" s="21" t="s">
        <v>78</v>
      </c>
      <c r="F77" s="21" t="s">
        <v>86</v>
      </c>
      <c r="G77" s="21" t="s">
        <v>68</v>
      </c>
      <c r="H77" s="21" t="s">
        <v>80</v>
      </c>
      <c r="I77" s="19">
        <v>70</v>
      </c>
      <c r="J77" s="19">
        <v>140</v>
      </c>
      <c r="K77" s="19">
        <v>14</v>
      </c>
      <c r="L77" s="19">
        <v>48</v>
      </c>
      <c r="M77" s="19">
        <v>123</v>
      </c>
      <c r="N77" s="19">
        <v>25</v>
      </c>
    </row>
    <row r="78" spans="1:14" x14ac:dyDescent="0.3">
      <c r="A78" s="10">
        <v>414</v>
      </c>
      <c r="B78" s="6">
        <v>44562</v>
      </c>
      <c r="C78" s="21" t="s">
        <v>83</v>
      </c>
      <c r="D78" s="21" t="s">
        <v>65</v>
      </c>
      <c r="E78" s="21" t="s">
        <v>78</v>
      </c>
      <c r="F78" s="21" t="s">
        <v>87</v>
      </c>
      <c r="G78" s="21" t="s">
        <v>68</v>
      </c>
      <c r="H78" s="21" t="s">
        <v>80</v>
      </c>
      <c r="I78" s="19">
        <v>50</v>
      </c>
      <c r="J78" s="19">
        <v>170</v>
      </c>
      <c r="K78" s="19">
        <v>21</v>
      </c>
      <c r="L78" s="19">
        <v>38</v>
      </c>
      <c r="M78" s="19">
        <v>150</v>
      </c>
      <c r="N78" s="19">
        <v>43</v>
      </c>
    </row>
    <row r="79" spans="1:14" x14ac:dyDescent="0.3">
      <c r="A79" s="10">
        <v>860</v>
      </c>
      <c r="B79" s="6">
        <v>44562</v>
      </c>
      <c r="C79" s="21" t="s">
        <v>83</v>
      </c>
      <c r="D79" s="21" t="s">
        <v>65</v>
      </c>
      <c r="E79" s="21" t="s">
        <v>78</v>
      </c>
      <c r="F79" s="21" t="s">
        <v>93</v>
      </c>
      <c r="G79" s="21" t="s">
        <v>72</v>
      </c>
      <c r="H79" s="21" t="s">
        <v>80</v>
      </c>
      <c r="I79" s="19">
        <v>20</v>
      </c>
      <c r="J79" s="19">
        <v>170</v>
      </c>
      <c r="K79" s="19">
        <v>68</v>
      </c>
      <c r="L79" s="19">
        <v>7</v>
      </c>
      <c r="M79" s="19">
        <v>180</v>
      </c>
      <c r="N79" s="19">
        <v>98</v>
      </c>
    </row>
    <row r="80" spans="1:14" x14ac:dyDescent="0.3">
      <c r="A80" s="10">
        <v>603</v>
      </c>
      <c r="B80" s="6">
        <v>44562</v>
      </c>
      <c r="C80" s="21" t="s">
        <v>83</v>
      </c>
      <c r="D80" s="21" t="s">
        <v>65</v>
      </c>
      <c r="E80" s="21" t="s">
        <v>78</v>
      </c>
      <c r="F80" s="21" t="s">
        <v>18</v>
      </c>
      <c r="G80" s="21" t="s">
        <v>72</v>
      </c>
      <c r="H80" s="21" t="s">
        <v>80</v>
      </c>
      <c r="I80" s="19">
        <v>0</v>
      </c>
      <c r="J80" s="19">
        <v>80</v>
      </c>
      <c r="K80" s="19">
        <v>34</v>
      </c>
      <c r="L80" s="19">
        <v>-10</v>
      </c>
      <c r="M80" s="19">
        <v>90</v>
      </c>
      <c r="N80" s="19">
        <v>63</v>
      </c>
    </row>
    <row r="81" spans="1:14" x14ac:dyDescent="0.3">
      <c r="A81" s="10">
        <v>603</v>
      </c>
      <c r="B81" s="6">
        <v>44562</v>
      </c>
      <c r="C81" s="21" t="s">
        <v>84</v>
      </c>
      <c r="D81" s="21" t="s">
        <v>65</v>
      </c>
      <c r="E81" s="21" t="s">
        <v>78</v>
      </c>
      <c r="F81" s="21" t="s">
        <v>18</v>
      </c>
      <c r="G81" s="21" t="s">
        <v>72</v>
      </c>
      <c r="H81" s="21" t="s">
        <v>80</v>
      </c>
      <c r="I81" s="19">
        <v>0</v>
      </c>
      <c r="J81" s="19">
        <v>60</v>
      </c>
      <c r="K81" s="19">
        <v>11</v>
      </c>
      <c r="L81" s="19">
        <v>-8</v>
      </c>
      <c r="M81" s="19">
        <v>65</v>
      </c>
      <c r="N81" s="19">
        <v>44</v>
      </c>
    </row>
    <row r="82" spans="1:14" x14ac:dyDescent="0.3">
      <c r="A82" s="10">
        <v>504</v>
      </c>
      <c r="B82" s="6">
        <v>44562</v>
      </c>
      <c r="C82" s="21" t="s">
        <v>85</v>
      </c>
      <c r="D82" s="21" t="s">
        <v>65</v>
      </c>
      <c r="E82" s="21" t="s">
        <v>78</v>
      </c>
      <c r="F82" s="21" t="s">
        <v>88</v>
      </c>
      <c r="G82" s="21" t="s">
        <v>74</v>
      </c>
      <c r="H82" s="21" t="s">
        <v>80</v>
      </c>
      <c r="I82" s="19">
        <v>10</v>
      </c>
      <c r="J82" s="19">
        <v>150</v>
      </c>
      <c r="K82" s="19">
        <v>68</v>
      </c>
      <c r="L82" s="19">
        <v>8</v>
      </c>
      <c r="M82" s="19">
        <v>180</v>
      </c>
      <c r="N82" s="19">
        <v>97</v>
      </c>
    </row>
    <row r="83" spans="1:14" x14ac:dyDescent="0.3">
      <c r="A83" s="10">
        <v>505</v>
      </c>
      <c r="B83" s="6">
        <v>44562</v>
      </c>
      <c r="C83" s="21" t="s">
        <v>85</v>
      </c>
      <c r="D83" s="21" t="s">
        <v>65</v>
      </c>
      <c r="E83" s="21" t="s">
        <v>78</v>
      </c>
      <c r="F83" s="21" t="s">
        <v>24</v>
      </c>
      <c r="G83" s="21" t="s">
        <v>74</v>
      </c>
      <c r="H83" s="21" t="s">
        <v>80</v>
      </c>
      <c r="I83" s="19">
        <v>0</v>
      </c>
      <c r="J83" s="19">
        <v>50</v>
      </c>
      <c r="K83" s="19">
        <v>11</v>
      </c>
      <c r="L83" s="19">
        <v>-8</v>
      </c>
      <c r="M83" s="19">
        <v>65</v>
      </c>
      <c r="N83" s="19">
        <v>44</v>
      </c>
    </row>
    <row r="84" spans="1:14" x14ac:dyDescent="0.3">
      <c r="A84" s="10">
        <v>405</v>
      </c>
      <c r="B84" s="6">
        <v>44562</v>
      </c>
      <c r="C84" s="21" t="s">
        <v>85</v>
      </c>
      <c r="D84" s="21" t="s">
        <v>65</v>
      </c>
      <c r="E84" s="21" t="s">
        <v>78</v>
      </c>
      <c r="F84" s="21" t="s">
        <v>89</v>
      </c>
      <c r="G84" s="21" t="s">
        <v>74</v>
      </c>
      <c r="H84" s="21" t="s">
        <v>80</v>
      </c>
      <c r="I84" s="19">
        <v>70</v>
      </c>
      <c r="J84" s="19">
        <v>170</v>
      </c>
      <c r="K84" s="19">
        <v>26</v>
      </c>
      <c r="L84" s="19">
        <v>66</v>
      </c>
      <c r="M84" s="19">
        <v>200</v>
      </c>
      <c r="N84" s="19">
        <v>50</v>
      </c>
    </row>
    <row r="85" spans="1:14" x14ac:dyDescent="0.3">
      <c r="A85" s="10">
        <v>337</v>
      </c>
      <c r="B85" s="6">
        <v>44562</v>
      </c>
      <c r="C85" s="21" t="s">
        <v>83</v>
      </c>
      <c r="D85" s="21" t="s">
        <v>65</v>
      </c>
      <c r="E85" s="21" t="s">
        <v>78</v>
      </c>
      <c r="F85" s="21" t="s">
        <v>88</v>
      </c>
      <c r="G85" s="21" t="s">
        <v>74</v>
      </c>
      <c r="H85" s="21" t="s">
        <v>80</v>
      </c>
      <c r="I85" s="19">
        <v>80</v>
      </c>
      <c r="J85" s="19">
        <v>150</v>
      </c>
      <c r="K85" s="19">
        <v>20</v>
      </c>
      <c r="L85" s="19">
        <v>70</v>
      </c>
      <c r="M85" s="19">
        <v>180</v>
      </c>
      <c r="N85" s="19">
        <v>43</v>
      </c>
    </row>
    <row r="86" spans="1:14" x14ac:dyDescent="0.3">
      <c r="A86" s="10">
        <v>505</v>
      </c>
      <c r="B86" s="6">
        <v>44562</v>
      </c>
      <c r="C86" s="21" t="s">
        <v>83</v>
      </c>
      <c r="D86" s="21" t="s">
        <v>65</v>
      </c>
      <c r="E86" s="21" t="s">
        <v>78</v>
      </c>
      <c r="F86" s="21" t="s">
        <v>24</v>
      </c>
      <c r="G86" s="21" t="s">
        <v>74</v>
      </c>
      <c r="H86" s="21" t="s">
        <v>80</v>
      </c>
      <c r="I86" s="19">
        <v>-10</v>
      </c>
      <c r="J86" s="19">
        <v>70</v>
      </c>
      <c r="K86" s="19">
        <v>34</v>
      </c>
      <c r="L86" s="19">
        <v>-10</v>
      </c>
      <c r="M86" s="19">
        <v>90</v>
      </c>
      <c r="N86" s="19">
        <v>63</v>
      </c>
    </row>
    <row r="87" spans="1:14" x14ac:dyDescent="0.3">
      <c r="A87" s="10">
        <v>405</v>
      </c>
      <c r="B87" s="6">
        <v>44562</v>
      </c>
      <c r="C87" s="21" t="s">
        <v>83</v>
      </c>
      <c r="D87" s="21" t="s">
        <v>65</v>
      </c>
      <c r="E87" s="21" t="s">
        <v>78</v>
      </c>
      <c r="F87" s="21" t="s">
        <v>89</v>
      </c>
      <c r="G87" s="21" t="s">
        <v>74</v>
      </c>
      <c r="H87" s="21" t="s">
        <v>80</v>
      </c>
      <c r="I87" s="19">
        <v>40</v>
      </c>
      <c r="J87" s="19">
        <v>60</v>
      </c>
      <c r="K87" s="19">
        <v>8</v>
      </c>
      <c r="L87" s="19">
        <v>28</v>
      </c>
      <c r="M87" s="19">
        <v>80</v>
      </c>
      <c r="N87" s="19">
        <v>20</v>
      </c>
    </row>
    <row r="88" spans="1:14" x14ac:dyDescent="0.3">
      <c r="A88" s="10">
        <v>775</v>
      </c>
      <c r="B88" s="6">
        <v>44562</v>
      </c>
      <c r="C88" s="21" t="s">
        <v>85</v>
      </c>
      <c r="D88" s="21" t="s">
        <v>65</v>
      </c>
      <c r="E88" s="21" t="s">
        <v>78</v>
      </c>
      <c r="F88" s="21" t="s">
        <v>15</v>
      </c>
      <c r="G88" s="21" t="s">
        <v>76</v>
      </c>
      <c r="H88" s="21" t="s">
        <v>80</v>
      </c>
      <c r="I88" s="19">
        <v>20</v>
      </c>
      <c r="J88" s="19">
        <v>40</v>
      </c>
      <c r="K88" s="19">
        <v>4</v>
      </c>
      <c r="L88" s="19">
        <v>11</v>
      </c>
      <c r="M88" s="19">
        <v>43</v>
      </c>
      <c r="N88" s="19">
        <v>15</v>
      </c>
    </row>
    <row r="89" spans="1:14" x14ac:dyDescent="0.3">
      <c r="A89" s="10">
        <v>503</v>
      </c>
      <c r="B89" s="6">
        <v>44562</v>
      </c>
      <c r="C89" s="21" t="s">
        <v>85</v>
      </c>
      <c r="D89" s="21" t="s">
        <v>65</v>
      </c>
      <c r="E89" s="21" t="s">
        <v>78</v>
      </c>
      <c r="F89" s="21" t="s">
        <v>90</v>
      </c>
      <c r="G89" s="21" t="s">
        <v>76</v>
      </c>
      <c r="H89" s="21" t="s">
        <v>80</v>
      </c>
      <c r="I89" s="19">
        <v>20</v>
      </c>
      <c r="J89" s="19">
        <v>120</v>
      </c>
      <c r="K89" s="19">
        <v>22</v>
      </c>
      <c r="L89" s="19">
        <v>16</v>
      </c>
      <c r="M89" s="19">
        <v>130</v>
      </c>
      <c r="N89" s="19">
        <v>56</v>
      </c>
    </row>
    <row r="90" spans="1:14" x14ac:dyDescent="0.3">
      <c r="A90" s="10">
        <v>435</v>
      </c>
      <c r="B90" s="6">
        <v>44562</v>
      </c>
      <c r="C90" s="21" t="s">
        <v>85</v>
      </c>
      <c r="D90" s="21" t="s">
        <v>65</v>
      </c>
      <c r="E90" s="21" t="s">
        <v>78</v>
      </c>
      <c r="F90" s="21" t="s">
        <v>91</v>
      </c>
      <c r="G90" s="21" t="s">
        <v>76</v>
      </c>
      <c r="H90" s="21" t="s">
        <v>80</v>
      </c>
      <c r="I90" s="19">
        <v>40</v>
      </c>
      <c r="J90" s="19">
        <v>100</v>
      </c>
      <c r="K90" s="19">
        <v>12</v>
      </c>
      <c r="L90" s="19">
        <v>44</v>
      </c>
      <c r="M90" s="19">
        <v>114</v>
      </c>
      <c r="N90" s="19">
        <v>24</v>
      </c>
    </row>
    <row r="91" spans="1:14" x14ac:dyDescent="0.3">
      <c r="A91" s="10">
        <v>425</v>
      </c>
      <c r="B91" s="6">
        <v>44562</v>
      </c>
      <c r="C91" s="21" t="s">
        <v>85</v>
      </c>
      <c r="D91" s="21" t="s">
        <v>65</v>
      </c>
      <c r="E91" s="21" t="s">
        <v>78</v>
      </c>
      <c r="F91" s="21" t="s">
        <v>92</v>
      </c>
      <c r="G91" s="21" t="s">
        <v>76</v>
      </c>
      <c r="H91" s="21" t="s">
        <v>80</v>
      </c>
      <c r="I91" s="19">
        <v>40</v>
      </c>
      <c r="J91" s="19">
        <v>100</v>
      </c>
      <c r="K91" s="19">
        <v>15</v>
      </c>
      <c r="L91" s="19">
        <v>35</v>
      </c>
      <c r="M91" s="19">
        <v>110</v>
      </c>
      <c r="N91" s="19">
        <v>27</v>
      </c>
    </row>
    <row r="92" spans="1:14" x14ac:dyDescent="0.3">
      <c r="A92" s="10">
        <v>702</v>
      </c>
      <c r="B92" s="6">
        <v>44562</v>
      </c>
      <c r="C92" s="21" t="s">
        <v>83</v>
      </c>
      <c r="D92" s="21" t="s">
        <v>65</v>
      </c>
      <c r="E92" s="21" t="s">
        <v>78</v>
      </c>
      <c r="F92" s="21" t="s">
        <v>15</v>
      </c>
      <c r="G92" s="21" t="s">
        <v>76</v>
      </c>
      <c r="H92" s="21" t="s">
        <v>80</v>
      </c>
      <c r="I92" s="19">
        <v>20</v>
      </c>
      <c r="J92" s="19">
        <v>40</v>
      </c>
      <c r="K92" s="19">
        <v>5</v>
      </c>
      <c r="L92" s="19">
        <v>10</v>
      </c>
      <c r="M92" s="19">
        <v>45</v>
      </c>
      <c r="N92" s="19">
        <v>17</v>
      </c>
    </row>
    <row r="93" spans="1:14" x14ac:dyDescent="0.3">
      <c r="A93" s="10">
        <v>503</v>
      </c>
      <c r="B93" s="6">
        <v>44562</v>
      </c>
      <c r="C93" s="21" t="s">
        <v>83</v>
      </c>
      <c r="D93" s="21" t="s">
        <v>65</v>
      </c>
      <c r="E93" s="21" t="s">
        <v>78</v>
      </c>
      <c r="F93" s="21" t="s">
        <v>90</v>
      </c>
      <c r="G93" s="21" t="s">
        <v>76</v>
      </c>
      <c r="H93" s="21" t="s">
        <v>80</v>
      </c>
      <c r="I93" s="19">
        <v>50</v>
      </c>
      <c r="J93" s="19">
        <v>130</v>
      </c>
      <c r="K93" s="19">
        <v>19</v>
      </c>
      <c r="L93" s="19">
        <v>33</v>
      </c>
      <c r="M93" s="19">
        <v>140</v>
      </c>
      <c r="N93" s="19">
        <v>47</v>
      </c>
    </row>
    <row r="94" spans="1:14" x14ac:dyDescent="0.3">
      <c r="A94" s="10">
        <v>435</v>
      </c>
      <c r="B94" s="6">
        <v>44562</v>
      </c>
      <c r="C94" s="21" t="s">
        <v>83</v>
      </c>
      <c r="D94" s="21" t="s">
        <v>65</v>
      </c>
      <c r="E94" s="21" t="s">
        <v>78</v>
      </c>
      <c r="F94" s="21" t="s">
        <v>91</v>
      </c>
      <c r="G94" s="21" t="s">
        <v>76</v>
      </c>
      <c r="H94" s="21" t="s">
        <v>80</v>
      </c>
      <c r="I94" s="19">
        <v>40</v>
      </c>
      <c r="J94" s="19">
        <v>100</v>
      </c>
      <c r="K94" s="19">
        <v>16</v>
      </c>
      <c r="L94" s="19">
        <v>34</v>
      </c>
      <c r="M94" s="19">
        <v>112</v>
      </c>
      <c r="N94" s="19">
        <v>29</v>
      </c>
    </row>
    <row r="95" spans="1:14" x14ac:dyDescent="0.3">
      <c r="A95" s="10">
        <v>253</v>
      </c>
      <c r="B95" s="6">
        <v>44562</v>
      </c>
      <c r="C95" s="21" t="s">
        <v>83</v>
      </c>
      <c r="D95" s="21" t="s">
        <v>65</v>
      </c>
      <c r="E95" s="21" t="s">
        <v>78</v>
      </c>
      <c r="F95" s="21" t="s">
        <v>92</v>
      </c>
      <c r="G95" s="21" t="s">
        <v>76</v>
      </c>
      <c r="H95" s="21" t="s">
        <v>80</v>
      </c>
      <c r="I95" s="19">
        <v>20</v>
      </c>
      <c r="J95" s="19">
        <v>110</v>
      </c>
      <c r="K95" s="19">
        <v>20</v>
      </c>
      <c r="L95" s="19">
        <v>13</v>
      </c>
      <c r="M95" s="19">
        <v>120</v>
      </c>
      <c r="N95" s="19">
        <v>53</v>
      </c>
    </row>
    <row r="96" spans="1:14" x14ac:dyDescent="0.3">
      <c r="A96" s="10">
        <v>970</v>
      </c>
      <c r="B96" s="6">
        <v>44562</v>
      </c>
      <c r="C96" s="21" t="s">
        <v>94</v>
      </c>
      <c r="D96" s="21" t="s">
        <v>95</v>
      </c>
      <c r="E96" s="21" t="s">
        <v>96</v>
      </c>
      <c r="F96" s="21" t="s">
        <v>67</v>
      </c>
      <c r="G96" s="21" t="s">
        <v>68</v>
      </c>
      <c r="H96" s="21" t="s">
        <v>69</v>
      </c>
      <c r="I96" s="19">
        <v>110</v>
      </c>
      <c r="J96" s="19">
        <v>300</v>
      </c>
      <c r="K96" s="19">
        <v>47</v>
      </c>
      <c r="L96" s="19">
        <v>99</v>
      </c>
      <c r="M96" s="19">
        <v>341</v>
      </c>
      <c r="N96" s="19">
        <v>72</v>
      </c>
    </row>
    <row r="97" spans="1:14" x14ac:dyDescent="0.3">
      <c r="A97" s="10">
        <v>312</v>
      </c>
      <c r="B97" s="6">
        <v>44562</v>
      </c>
      <c r="C97" s="21" t="s">
        <v>94</v>
      </c>
      <c r="D97" s="21" t="s">
        <v>95</v>
      </c>
      <c r="E97" s="21" t="s">
        <v>96</v>
      </c>
      <c r="F97" s="21" t="s">
        <v>6</v>
      </c>
      <c r="G97" s="21" t="s">
        <v>68</v>
      </c>
      <c r="H97" s="21" t="s">
        <v>69</v>
      </c>
      <c r="I97" s="19">
        <v>100</v>
      </c>
      <c r="J97" s="19">
        <v>190</v>
      </c>
      <c r="K97" s="19">
        <v>24</v>
      </c>
      <c r="L97" s="19">
        <v>95</v>
      </c>
      <c r="M97" s="19">
        <v>219</v>
      </c>
      <c r="N97" s="19">
        <v>35</v>
      </c>
    </row>
    <row r="98" spans="1:14" x14ac:dyDescent="0.3">
      <c r="A98" s="10">
        <v>937</v>
      </c>
      <c r="B98" s="6">
        <v>44562</v>
      </c>
      <c r="C98" s="21" t="s">
        <v>94</v>
      </c>
      <c r="D98" s="21" t="s">
        <v>95</v>
      </c>
      <c r="E98" s="21" t="s">
        <v>96</v>
      </c>
      <c r="F98" s="21" t="s">
        <v>70</v>
      </c>
      <c r="G98" s="21" t="s">
        <v>68</v>
      </c>
      <c r="H98" s="21" t="s">
        <v>69</v>
      </c>
      <c r="I98" s="19">
        <v>50</v>
      </c>
      <c r="J98" s="19">
        <v>70</v>
      </c>
      <c r="K98" s="19">
        <v>8</v>
      </c>
      <c r="L98" s="19">
        <v>29</v>
      </c>
      <c r="M98" s="19">
        <v>80</v>
      </c>
      <c r="N98" s="19">
        <v>19</v>
      </c>
    </row>
    <row r="99" spans="1:14" x14ac:dyDescent="0.3">
      <c r="A99" s="10">
        <v>719</v>
      </c>
      <c r="B99" s="6">
        <v>44562</v>
      </c>
      <c r="C99" s="21" t="s">
        <v>97</v>
      </c>
      <c r="D99" s="21" t="s">
        <v>95</v>
      </c>
      <c r="E99" s="21" t="s">
        <v>96</v>
      </c>
      <c r="F99" s="21" t="s">
        <v>67</v>
      </c>
      <c r="G99" s="21" t="s">
        <v>68</v>
      </c>
      <c r="H99" s="21" t="s">
        <v>69</v>
      </c>
      <c r="I99" s="19">
        <v>20</v>
      </c>
      <c r="J99" s="19">
        <v>130</v>
      </c>
      <c r="K99" s="19">
        <v>57</v>
      </c>
      <c r="L99" s="19">
        <v>0</v>
      </c>
      <c r="M99" s="19">
        <v>150</v>
      </c>
      <c r="N99" s="19">
        <v>87</v>
      </c>
    </row>
    <row r="100" spans="1:14" x14ac:dyDescent="0.3">
      <c r="A100" s="10">
        <v>630</v>
      </c>
      <c r="B100" s="6">
        <v>44562</v>
      </c>
      <c r="C100" s="21" t="s">
        <v>97</v>
      </c>
      <c r="D100" s="21" t="s">
        <v>95</v>
      </c>
      <c r="E100" s="21" t="s">
        <v>96</v>
      </c>
      <c r="F100" s="21" t="s">
        <v>6</v>
      </c>
      <c r="G100" s="21" t="s">
        <v>68</v>
      </c>
      <c r="H100" s="21" t="s">
        <v>69</v>
      </c>
      <c r="I100" s="19">
        <v>60</v>
      </c>
      <c r="J100" s="19">
        <v>160</v>
      </c>
      <c r="K100" s="19">
        <v>27</v>
      </c>
      <c r="L100" s="19">
        <v>68</v>
      </c>
      <c r="M100" s="19">
        <v>190</v>
      </c>
      <c r="N100" s="19">
        <v>39</v>
      </c>
    </row>
    <row r="101" spans="1:14" x14ac:dyDescent="0.3">
      <c r="A101" s="10">
        <v>740</v>
      </c>
      <c r="B101" s="6">
        <v>44562</v>
      </c>
      <c r="C101" s="21" t="s">
        <v>97</v>
      </c>
      <c r="D101" s="21" t="s">
        <v>95</v>
      </c>
      <c r="E101" s="21" t="s">
        <v>96</v>
      </c>
      <c r="F101" s="21" t="s">
        <v>70</v>
      </c>
      <c r="G101" s="21" t="s">
        <v>68</v>
      </c>
      <c r="H101" s="21" t="s">
        <v>69</v>
      </c>
      <c r="I101" s="19">
        <v>50</v>
      </c>
      <c r="J101" s="19">
        <v>70</v>
      </c>
      <c r="K101" s="19">
        <v>8</v>
      </c>
      <c r="L101" s="19">
        <v>29</v>
      </c>
      <c r="M101" s="19">
        <v>80</v>
      </c>
      <c r="N101" s="19">
        <v>19</v>
      </c>
    </row>
    <row r="102" spans="1:14" x14ac:dyDescent="0.3">
      <c r="A102" s="10">
        <v>970</v>
      </c>
      <c r="B102" s="6">
        <v>44562</v>
      </c>
      <c r="C102" s="21" t="s">
        <v>98</v>
      </c>
      <c r="D102" s="21" t="s">
        <v>95</v>
      </c>
      <c r="E102" s="21" t="s">
        <v>96</v>
      </c>
      <c r="F102" s="21" t="s">
        <v>67</v>
      </c>
      <c r="G102" s="21" t="s">
        <v>68</v>
      </c>
      <c r="H102" s="21" t="s">
        <v>69</v>
      </c>
      <c r="I102" s="19">
        <v>40</v>
      </c>
      <c r="J102" s="19">
        <v>120</v>
      </c>
      <c r="K102" s="19">
        <v>19</v>
      </c>
      <c r="L102" s="19">
        <v>33</v>
      </c>
      <c r="M102" s="19">
        <v>140</v>
      </c>
      <c r="N102" s="19">
        <v>47</v>
      </c>
    </row>
    <row r="103" spans="1:14" x14ac:dyDescent="0.3">
      <c r="A103" s="10">
        <v>773</v>
      </c>
      <c r="B103" s="6">
        <v>44562</v>
      </c>
      <c r="C103" s="21" t="s">
        <v>98</v>
      </c>
      <c r="D103" s="21" t="s">
        <v>95</v>
      </c>
      <c r="E103" s="21" t="s">
        <v>96</v>
      </c>
      <c r="F103" s="21" t="s">
        <v>6</v>
      </c>
      <c r="G103" s="21" t="s">
        <v>68</v>
      </c>
      <c r="H103" s="21" t="s">
        <v>69</v>
      </c>
      <c r="I103" s="19">
        <v>100</v>
      </c>
      <c r="J103" s="19">
        <v>200</v>
      </c>
      <c r="K103" s="19">
        <v>26</v>
      </c>
      <c r="L103" s="19">
        <v>101</v>
      </c>
      <c r="M103" s="19">
        <v>234</v>
      </c>
      <c r="N103" s="19">
        <v>38</v>
      </c>
    </row>
    <row r="104" spans="1:14" x14ac:dyDescent="0.3">
      <c r="A104" s="10">
        <v>863</v>
      </c>
      <c r="B104" s="6">
        <v>44562</v>
      </c>
      <c r="C104" s="21" t="s">
        <v>94</v>
      </c>
      <c r="D104" s="21" t="s">
        <v>95</v>
      </c>
      <c r="E104" s="21" t="s">
        <v>96</v>
      </c>
      <c r="F104" s="21" t="s">
        <v>71</v>
      </c>
      <c r="G104" s="21" t="s">
        <v>72</v>
      </c>
      <c r="H104" s="21" t="s">
        <v>69</v>
      </c>
      <c r="I104" s="19">
        <v>30</v>
      </c>
      <c r="J104" s="19">
        <v>80</v>
      </c>
      <c r="K104" s="19">
        <v>15</v>
      </c>
      <c r="L104" s="19">
        <v>34</v>
      </c>
      <c r="M104" s="19">
        <v>110</v>
      </c>
      <c r="N104" s="19">
        <v>28</v>
      </c>
    </row>
    <row r="105" spans="1:14" x14ac:dyDescent="0.3">
      <c r="A105" s="10">
        <v>239</v>
      </c>
      <c r="B105" s="6">
        <v>44562</v>
      </c>
      <c r="C105" s="21" t="s">
        <v>97</v>
      </c>
      <c r="D105" s="21" t="s">
        <v>95</v>
      </c>
      <c r="E105" s="21" t="s">
        <v>96</v>
      </c>
      <c r="F105" s="21" t="s">
        <v>71</v>
      </c>
      <c r="G105" s="21" t="s">
        <v>72</v>
      </c>
      <c r="H105" s="21" t="s">
        <v>69</v>
      </c>
      <c r="I105" s="19">
        <v>20</v>
      </c>
      <c r="J105" s="19">
        <v>90</v>
      </c>
      <c r="K105" s="19">
        <v>20</v>
      </c>
      <c r="L105" s="19">
        <v>13</v>
      </c>
      <c r="M105" s="19">
        <v>120</v>
      </c>
      <c r="N105" s="19">
        <v>53</v>
      </c>
    </row>
    <row r="106" spans="1:14" x14ac:dyDescent="0.3">
      <c r="A106" s="10">
        <v>339</v>
      </c>
      <c r="B106" s="6">
        <v>44562</v>
      </c>
      <c r="C106" s="21" t="s">
        <v>97</v>
      </c>
      <c r="D106" s="21" t="s">
        <v>95</v>
      </c>
      <c r="E106" s="21" t="s">
        <v>96</v>
      </c>
      <c r="F106" s="21" t="s">
        <v>82</v>
      </c>
      <c r="G106" s="21" t="s">
        <v>72</v>
      </c>
      <c r="H106" s="21" t="s">
        <v>69</v>
      </c>
      <c r="I106" s="19">
        <v>30</v>
      </c>
      <c r="J106" s="19">
        <v>100</v>
      </c>
      <c r="K106" s="19">
        <v>22</v>
      </c>
      <c r="L106" s="19">
        <v>17</v>
      </c>
      <c r="M106" s="19">
        <v>130</v>
      </c>
      <c r="N106" s="19">
        <v>55</v>
      </c>
    </row>
    <row r="107" spans="1:14" x14ac:dyDescent="0.3">
      <c r="A107" s="10">
        <v>607</v>
      </c>
      <c r="B107" s="6">
        <v>44562</v>
      </c>
      <c r="C107" s="21" t="s">
        <v>97</v>
      </c>
      <c r="D107" s="21" t="s">
        <v>95</v>
      </c>
      <c r="E107" s="21" t="s">
        <v>96</v>
      </c>
      <c r="F107" s="21" t="s">
        <v>27</v>
      </c>
      <c r="G107" s="21" t="s">
        <v>72</v>
      </c>
      <c r="H107" s="21" t="s">
        <v>69</v>
      </c>
      <c r="I107" s="19">
        <v>100</v>
      </c>
      <c r="J107" s="19">
        <v>370</v>
      </c>
      <c r="K107" s="19">
        <v>93</v>
      </c>
      <c r="L107" s="19">
        <v>111</v>
      </c>
      <c r="M107" s="19">
        <v>483</v>
      </c>
      <c r="N107" s="19">
        <v>127</v>
      </c>
    </row>
    <row r="108" spans="1:14" x14ac:dyDescent="0.3">
      <c r="A108" s="10">
        <v>772</v>
      </c>
      <c r="B108" s="6">
        <v>44562</v>
      </c>
      <c r="C108" s="21" t="s">
        <v>98</v>
      </c>
      <c r="D108" s="21" t="s">
        <v>95</v>
      </c>
      <c r="E108" s="21" t="s">
        <v>96</v>
      </c>
      <c r="F108" s="21" t="s">
        <v>71</v>
      </c>
      <c r="G108" s="21" t="s">
        <v>72</v>
      </c>
      <c r="H108" s="21" t="s">
        <v>69</v>
      </c>
      <c r="I108" s="19">
        <v>40</v>
      </c>
      <c r="J108" s="19">
        <v>110</v>
      </c>
      <c r="K108" s="19">
        <v>21</v>
      </c>
      <c r="L108" s="19">
        <v>39</v>
      </c>
      <c r="M108" s="19">
        <v>150</v>
      </c>
      <c r="N108" s="19">
        <v>42</v>
      </c>
    </row>
    <row r="109" spans="1:14" x14ac:dyDescent="0.3">
      <c r="A109" s="10">
        <v>845</v>
      </c>
      <c r="B109" s="6">
        <v>44562</v>
      </c>
      <c r="C109" s="21" t="s">
        <v>98</v>
      </c>
      <c r="D109" s="21" t="s">
        <v>95</v>
      </c>
      <c r="E109" s="21" t="s">
        <v>96</v>
      </c>
      <c r="F109" s="21" t="s">
        <v>27</v>
      </c>
      <c r="G109" s="21" t="s">
        <v>72</v>
      </c>
      <c r="H109" s="21" t="s">
        <v>69</v>
      </c>
      <c r="I109" s="19">
        <v>-70</v>
      </c>
      <c r="J109" s="19">
        <v>140</v>
      </c>
      <c r="K109" s="19">
        <v>64</v>
      </c>
      <c r="L109" s="19">
        <v>-113</v>
      </c>
      <c r="M109" s="19">
        <v>180</v>
      </c>
      <c r="N109" s="19">
        <v>86</v>
      </c>
    </row>
    <row r="110" spans="1:14" x14ac:dyDescent="0.3">
      <c r="A110" s="10">
        <v>281</v>
      </c>
      <c r="B110" s="6">
        <v>44562</v>
      </c>
      <c r="C110" s="21" t="s">
        <v>94</v>
      </c>
      <c r="D110" s="21" t="s">
        <v>95</v>
      </c>
      <c r="E110" s="21" t="s">
        <v>96</v>
      </c>
      <c r="F110" s="21" t="s">
        <v>73</v>
      </c>
      <c r="G110" s="21" t="s">
        <v>74</v>
      </c>
      <c r="H110" s="21" t="s">
        <v>69</v>
      </c>
      <c r="I110" s="19">
        <v>50</v>
      </c>
      <c r="J110" s="19">
        <v>130</v>
      </c>
      <c r="K110" s="19">
        <v>19</v>
      </c>
      <c r="L110" s="19">
        <v>33</v>
      </c>
      <c r="M110" s="19">
        <v>140</v>
      </c>
      <c r="N110" s="19">
        <v>47</v>
      </c>
    </row>
    <row r="111" spans="1:14" x14ac:dyDescent="0.3">
      <c r="A111" s="10">
        <v>254</v>
      </c>
      <c r="B111" s="6">
        <v>44562</v>
      </c>
      <c r="C111" s="21" t="s">
        <v>97</v>
      </c>
      <c r="D111" s="21" t="s">
        <v>95</v>
      </c>
      <c r="E111" s="21" t="s">
        <v>96</v>
      </c>
      <c r="F111" s="21" t="s">
        <v>73</v>
      </c>
      <c r="G111" s="21" t="s">
        <v>74</v>
      </c>
      <c r="H111" s="21" t="s">
        <v>69</v>
      </c>
      <c r="I111" s="19">
        <v>50</v>
      </c>
      <c r="J111" s="19">
        <v>130</v>
      </c>
      <c r="K111" s="19">
        <v>18</v>
      </c>
      <c r="L111" s="19">
        <v>42</v>
      </c>
      <c r="M111" s="19">
        <v>140</v>
      </c>
      <c r="N111" s="19">
        <v>41</v>
      </c>
    </row>
    <row r="112" spans="1:14" x14ac:dyDescent="0.3">
      <c r="A112" s="10">
        <v>510</v>
      </c>
      <c r="B112" s="6">
        <v>44562</v>
      </c>
      <c r="C112" s="21" t="s">
        <v>94</v>
      </c>
      <c r="D112" s="21" t="s">
        <v>95</v>
      </c>
      <c r="E112" s="21" t="s">
        <v>96</v>
      </c>
      <c r="F112" s="21" t="s">
        <v>75</v>
      </c>
      <c r="G112" s="21" t="s">
        <v>76</v>
      </c>
      <c r="H112" s="21" t="s">
        <v>69</v>
      </c>
      <c r="I112" s="19">
        <v>100</v>
      </c>
      <c r="J112" s="19">
        <v>200</v>
      </c>
      <c r="K112" s="19">
        <v>26</v>
      </c>
      <c r="L112" s="19">
        <v>102</v>
      </c>
      <c r="M112" s="19">
        <v>234</v>
      </c>
      <c r="N112" s="19">
        <v>37</v>
      </c>
    </row>
    <row r="113" spans="1:14" x14ac:dyDescent="0.3">
      <c r="A113" s="10">
        <v>310</v>
      </c>
      <c r="B113" s="6">
        <v>44562</v>
      </c>
      <c r="C113" s="21" t="s">
        <v>97</v>
      </c>
      <c r="D113" s="21" t="s">
        <v>95</v>
      </c>
      <c r="E113" s="21" t="s">
        <v>96</v>
      </c>
      <c r="F113" s="21" t="s">
        <v>75</v>
      </c>
      <c r="G113" s="21" t="s">
        <v>76</v>
      </c>
      <c r="H113" s="21" t="s">
        <v>69</v>
      </c>
      <c r="I113" s="19">
        <v>160</v>
      </c>
      <c r="J113" s="19">
        <v>390</v>
      </c>
      <c r="K113" s="19">
        <v>64</v>
      </c>
      <c r="L113" s="19">
        <v>160</v>
      </c>
      <c r="M113" s="19">
        <v>452</v>
      </c>
      <c r="N113" s="19">
        <v>85</v>
      </c>
    </row>
    <row r="114" spans="1:14" x14ac:dyDescent="0.3">
      <c r="A114" s="10">
        <v>707</v>
      </c>
      <c r="B114" s="6">
        <v>44562</v>
      </c>
      <c r="C114" s="21" t="s">
        <v>98</v>
      </c>
      <c r="D114" s="21" t="s">
        <v>95</v>
      </c>
      <c r="E114" s="21" t="s">
        <v>96</v>
      </c>
      <c r="F114" s="21" t="s">
        <v>75</v>
      </c>
      <c r="G114" s="21" t="s">
        <v>76</v>
      </c>
      <c r="H114" s="21" t="s">
        <v>69</v>
      </c>
      <c r="I114" s="19">
        <v>60</v>
      </c>
      <c r="J114" s="19">
        <v>160</v>
      </c>
      <c r="K114" s="19">
        <v>27</v>
      </c>
      <c r="L114" s="19">
        <v>67</v>
      </c>
      <c r="M114" s="19">
        <v>190</v>
      </c>
      <c r="N114" s="19">
        <v>40</v>
      </c>
    </row>
    <row r="115" spans="1:14" x14ac:dyDescent="0.3">
      <c r="A115" s="10">
        <v>719</v>
      </c>
      <c r="B115" s="6">
        <v>44562</v>
      </c>
      <c r="C115" s="21" t="s">
        <v>99</v>
      </c>
      <c r="D115" s="21" t="s">
        <v>95</v>
      </c>
      <c r="E115" s="21" t="s">
        <v>100</v>
      </c>
      <c r="F115" s="21" t="s">
        <v>67</v>
      </c>
      <c r="G115" s="21" t="s">
        <v>68</v>
      </c>
      <c r="H115" s="21" t="s">
        <v>80</v>
      </c>
      <c r="I115" s="19">
        <v>20</v>
      </c>
      <c r="J115" s="19">
        <v>110</v>
      </c>
      <c r="K115" s="19">
        <v>22</v>
      </c>
      <c r="L115" s="19">
        <v>17</v>
      </c>
      <c r="M115" s="19">
        <v>130</v>
      </c>
      <c r="N115" s="19">
        <v>55</v>
      </c>
    </row>
    <row r="116" spans="1:14" x14ac:dyDescent="0.3">
      <c r="A116" s="10">
        <v>217</v>
      </c>
      <c r="B116" s="6">
        <v>44562</v>
      </c>
      <c r="C116" s="21" t="s">
        <v>99</v>
      </c>
      <c r="D116" s="21" t="s">
        <v>95</v>
      </c>
      <c r="E116" s="21" t="s">
        <v>100</v>
      </c>
      <c r="F116" s="21" t="s">
        <v>6</v>
      </c>
      <c r="G116" s="21" t="s">
        <v>68</v>
      </c>
      <c r="H116" s="21" t="s">
        <v>80</v>
      </c>
      <c r="I116" s="19">
        <v>50</v>
      </c>
      <c r="J116" s="19">
        <v>110</v>
      </c>
      <c r="K116" s="19">
        <v>15</v>
      </c>
      <c r="L116" s="19">
        <v>53</v>
      </c>
      <c r="M116" s="19">
        <v>134</v>
      </c>
      <c r="N116" s="19">
        <v>27</v>
      </c>
    </row>
    <row r="117" spans="1:14" x14ac:dyDescent="0.3">
      <c r="A117" s="10">
        <v>567</v>
      </c>
      <c r="B117" s="6">
        <v>44562</v>
      </c>
      <c r="C117" s="21" t="s">
        <v>99</v>
      </c>
      <c r="D117" s="21" t="s">
        <v>95</v>
      </c>
      <c r="E117" s="21" t="s">
        <v>100</v>
      </c>
      <c r="F117" s="21" t="s">
        <v>70</v>
      </c>
      <c r="G117" s="21" t="s">
        <v>68</v>
      </c>
      <c r="H117" s="21" t="s">
        <v>80</v>
      </c>
      <c r="I117" s="19">
        <v>60</v>
      </c>
      <c r="J117" s="19">
        <v>180</v>
      </c>
      <c r="K117" s="19">
        <v>27</v>
      </c>
      <c r="L117" s="19">
        <v>68</v>
      </c>
      <c r="M117" s="19">
        <v>210</v>
      </c>
      <c r="N117" s="19">
        <v>58</v>
      </c>
    </row>
    <row r="118" spans="1:14" x14ac:dyDescent="0.3">
      <c r="A118" s="10">
        <v>303</v>
      </c>
      <c r="B118" s="6">
        <v>44562</v>
      </c>
      <c r="C118" s="21" t="s">
        <v>101</v>
      </c>
      <c r="D118" s="21" t="s">
        <v>95</v>
      </c>
      <c r="E118" s="21" t="s">
        <v>100</v>
      </c>
      <c r="F118" s="21" t="s">
        <v>67</v>
      </c>
      <c r="G118" s="21" t="s">
        <v>68</v>
      </c>
      <c r="H118" s="21" t="s">
        <v>80</v>
      </c>
      <c r="I118" s="19">
        <v>40</v>
      </c>
      <c r="J118" s="19">
        <v>120</v>
      </c>
      <c r="K118" s="19">
        <v>19</v>
      </c>
      <c r="L118" s="19">
        <v>36</v>
      </c>
      <c r="M118" s="19">
        <v>140</v>
      </c>
      <c r="N118" s="19">
        <v>40</v>
      </c>
    </row>
    <row r="119" spans="1:14" x14ac:dyDescent="0.3">
      <c r="A119" s="10">
        <v>708</v>
      </c>
      <c r="B119" s="6">
        <v>44562</v>
      </c>
      <c r="C119" s="21" t="s">
        <v>101</v>
      </c>
      <c r="D119" s="21" t="s">
        <v>95</v>
      </c>
      <c r="E119" s="21" t="s">
        <v>100</v>
      </c>
      <c r="F119" s="21" t="s">
        <v>6</v>
      </c>
      <c r="G119" s="21" t="s">
        <v>68</v>
      </c>
      <c r="H119" s="21" t="s">
        <v>80</v>
      </c>
      <c r="I119" s="19">
        <v>40</v>
      </c>
      <c r="J119" s="19">
        <v>150</v>
      </c>
      <c r="K119" s="19">
        <v>23</v>
      </c>
      <c r="L119" s="19">
        <v>54</v>
      </c>
      <c r="M119" s="19">
        <v>180</v>
      </c>
      <c r="N119" s="19">
        <v>54</v>
      </c>
    </row>
    <row r="120" spans="1:14" x14ac:dyDescent="0.3">
      <c r="A120" s="10">
        <v>216</v>
      </c>
      <c r="B120" s="6">
        <v>44562</v>
      </c>
      <c r="C120" s="21" t="s">
        <v>101</v>
      </c>
      <c r="D120" s="21" t="s">
        <v>95</v>
      </c>
      <c r="E120" s="21" t="s">
        <v>100</v>
      </c>
      <c r="F120" s="21" t="s">
        <v>70</v>
      </c>
      <c r="G120" s="21" t="s">
        <v>68</v>
      </c>
      <c r="H120" s="21" t="s">
        <v>80</v>
      </c>
      <c r="I120" s="19">
        <v>60</v>
      </c>
      <c r="J120" s="19">
        <v>170</v>
      </c>
      <c r="K120" s="19">
        <v>26</v>
      </c>
      <c r="L120" s="19">
        <v>67</v>
      </c>
      <c r="M120" s="19">
        <v>200</v>
      </c>
      <c r="N120" s="19">
        <v>49</v>
      </c>
    </row>
    <row r="121" spans="1:14" x14ac:dyDescent="0.3">
      <c r="A121" s="10">
        <v>303</v>
      </c>
      <c r="B121" s="6">
        <v>44562</v>
      </c>
      <c r="C121" s="21" t="s">
        <v>102</v>
      </c>
      <c r="D121" s="21" t="s">
        <v>95</v>
      </c>
      <c r="E121" s="21" t="s">
        <v>100</v>
      </c>
      <c r="F121" s="21" t="s">
        <v>67</v>
      </c>
      <c r="G121" s="21" t="s">
        <v>68</v>
      </c>
      <c r="H121" s="21" t="s">
        <v>80</v>
      </c>
      <c r="I121" s="19">
        <v>30</v>
      </c>
      <c r="J121" s="19">
        <v>80</v>
      </c>
      <c r="K121" s="19">
        <v>14</v>
      </c>
      <c r="L121" s="19">
        <v>30</v>
      </c>
      <c r="M121" s="19">
        <v>100</v>
      </c>
      <c r="N121" s="19">
        <v>26</v>
      </c>
    </row>
    <row r="122" spans="1:14" x14ac:dyDescent="0.3">
      <c r="A122" s="10">
        <v>954</v>
      </c>
      <c r="B122" s="6">
        <v>44562</v>
      </c>
      <c r="C122" s="21" t="s">
        <v>99</v>
      </c>
      <c r="D122" s="21" t="s">
        <v>95</v>
      </c>
      <c r="E122" s="21" t="s">
        <v>100</v>
      </c>
      <c r="F122" s="21" t="s">
        <v>71</v>
      </c>
      <c r="G122" s="21" t="s">
        <v>72</v>
      </c>
      <c r="H122" s="21" t="s">
        <v>80</v>
      </c>
      <c r="I122" s="19">
        <v>40</v>
      </c>
      <c r="J122" s="19">
        <v>80</v>
      </c>
      <c r="K122" s="19">
        <v>8</v>
      </c>
      <c r="L122" s="19">
        <v>28</v>
      </c>
      <c r="M122" s="19">
        <v>80</v>
      </c>
      <c r="N122" s="19">
        <v>20</v>
      </c>
    </row>
    <row r="123" spans="1:14" x14ac:dyDescent="0.3">
      <c r="A123" s="10">
        <v>508</v>
      </c>
      <c r="B123" s="6">
        <v>44562</v>
      </c>
      <c r="C123" s="21" t="s">
        <v>99</v>
      </c>
      <c r="D123" s="21" t="s">
        <v>95</v>
      </c>
      <c r="E123" s="21" t="s">
        <v>100</v>
      </c>
      <c r="F123" s="21" t="s">
        <v>82</v>
      </c>
      <c r="G123" s="21" t="s">
        <v>72</v>
      </c>
      <c r="H123" s="21" t="s">
        <v>80</v>
      </c>
      <c r="I123" s="19">
        <v>40</v>
      </c>
      <c r="J123" s="19">
        <v>80</v>
      </c>
      <c r="K123" s="19">
        <v>8</v>
      </c>
      <c r="L123" s="19">
        <v>29</v>
      </c>
      <c r="M123" s="19">
        <v>80</v>
      </c>
      <c r="N123" s="19">
        <v>19</v>
      </c>
    </row>
    <row r="124" spans="1:14" x14ac:dyDescent="0.3">
      <c r="A124" s="10">
        <v>347</v>
      </c>
      <c r="B124" s="6">
        <v>44562</v>
      </c>
      <c r="C124" s="21" t="s">
        <v>99</v>
      </c>
      <c r="D124" s="21" t="s">
        <v>95</v>
      </c>
      <c r="E124" s="21" t="s">
        <v>100</v>
      </c>
      <c r="F124" s="21" t="s">
        <v>27</v>
      </c>
      <c r="G124" s="21" t="s">
        <v>72</v>
      </c>
      <c r="H124" s="21" t="s">
        <v>80</v>
      </c>
      <c r="I124" s="19">
        <v>120</v>
      </c>
      <c r="J124" s="19">
        <v>250</v>
      </c>
      <c r="K124" s="19">
        <v>26</v>
      </c>
      <c r="L124" s="19">
        <v>101</v>
      </c>
      <c r="M124" s="19">
        <v>234</v>
      </c>
      <c r="N124" s="19">
        <v>38</v>
      </c>
    </row>
    <row r="125" spans="1:14" x14ac:dyDescent="0.3">
      <c r="A125" s="10">
        <v>646</v>
      </c>
      <c r="B125" s="6">
        <v>44562</v>
      </c>
      <c r="C125" s="21" t="s">
        <v>101</v>
      </c>
      <c r="D125" s="21" t="s">
        <v>95</v>
      </c>
      <c r="E125" s="21" t="s">
        <v>100</v>
      </c>
      <c r="F125" s="21" t="s">
        <v>27</v>
      </c>
      <c r="G125" s="21" t="s">
        <v>72</v>
      </c>
      <c r="H125" s="21" t="s">
        <v>80</v>
      </c>
      <c r="I125" s="19">
        <v>110</v>
      </c>
      <c r="J125" s="19">
        <v>230</v>
      </c>
      <c r="K125" s="19">
        <v>24</v>
      </c>
      <c r="L125" s="19">
        <v>94</v>
      </c>
      <c r="M125" s="19">
        <v>219</v>
      </c>
      <c r="N125" s="19">
        <v>36</v>
      </c>
    </row>
    <row r="126" spans="1:14" x14ac:dyDescent="0.3">
      <c r="A126" s="10">
        <v>754</v>
      </c>
      <c r="B126" s="6">
        <v>44562</v>
      </c>
      <c r="C126" s="21" t="s">
        <v>102</v>
      </c>
      <c r="D126" s="21" t="s">
        <v>95</v>
      </c>
      <c r="E126" s="21" t="s">
        <v>100</v>
      </c>
      <c r="F126" s="21" t="s">
        <v>71</v>
      </c>
      <c r="G126" s="21" t="s">
        <v>72</v>
      </c>
      <c r="H126" s="21" t="s">
        <v>80</v>
      </c>
      <c r="I126" s="19">
        <v>40</v>
      </c>
      <c r="J126" s="19">
        <v>80</v>
      </c>
      <c r="K126" s="19">
        <v>9</v>
      </c>
      <c r="L126" s="19">
        <v>28</v>
      </c>
      <c r="M126" s="19">
        <v>81</v>
      </c>
      <c r="N126" s="19">
        <v>20</v>
      </c>
    </row>
    <row r="127" spans="1:14" x14ac:dyDescent="0.3">
      <c r="A127" s="10">
        <v>781</v>
      </c>
      <c r="B127" s="6">
        <v>44562</v>
      </c>
      <c r="C127" s="21" t="s">
        <v>102</v>
      </c>
      <c r="D127" s="21" t="s">
        <v>95</v>
      </c>
      <c r="E127" s="21" t="s">
        <v>100</v>
      </c>
      <c r="F127" s="21" t="s">
        <v>82</v>
      </c>
      <c r="G127" s="21" t="s">
        <v>72</v>
      </c>
      <c r="H127" s="21" t="s">
        <v>80</v>
      </c>
      <c r="I127" s="19">
        <v>40</v>
      </c>
      <c r="J127" s="19">
        <v>80</v>
      </c>
      <c r="K127" s="19">
        <v>8</v>
      </c>
      <c r="L127" s="19">
        <v>29</v>
      </c>
      <c r="M127" s="19">
        <v>80</v>
      </c>
      <c r="N127" s="19">
        <v>19</v>
      </c>
    </row>
    <row r="128" spans="1:14" x14ac:dyDescent="0.3">
      <c r="A128" s="10">
        <v>347</v>
      </c>
      <c r="B128" s="6">
        <v>44562</v>
      </c>
      <c r="C128" s="21" t="s">
        <v>102</v>
      </c>
      <c r="D128" s="21" t="s">
        <v>95</v>
      </c>
      <c r="E128" s="21" t="s">
        <v>100</v>
      </c>
      <c r="F128" s="21" t="s">
        <v>27</v>
      </c>
      <c r="G128" s="21" t="s">
        <v>72</v>
      </c>
      <c r="H128" s="21" t="s">
        <v>80</v>
      </c>
      <c r="I128" s="19">
        <v>70</v>
      </c>
      <c r="J128" s="19">
        <v>140</v>
      </c>
      <c r="K128" s="19">
        <v>15</v>
      </c>
      <c r="L128" s="19">
        <v>54</v>
      </c>
      <c r="M128" s="19">
        <v>134</v>
      </c>
      <c r="N128" s="19">
        <v>26</v>
      </c>
    </row>
    <row r="129" spans="1:14" x14ac:dyDescent="0.3">
      <c r="A129" s="10">
        <v>619</v>
      </c>
      <c r="B129" s="6">
        <v>44562</v>
      </c>
      <c r="C129" s="21" t="s">
        <v>99</v>
      </c>
      <c r="D129" s="21" t="s">
        <v>95</v>
      </c>
      <c r="E129" s="21" t="s">
        <v>100</v>
      </c>
      <c r="F129" s="21" t="s">
        <v>75</v>
      </c>
      <c r="G129" s="21" t="s">
        <v>76</v>
      </c>
      <c r="H129" s="21" t="s">
        <v>80</v>
      </c>
      <c r="I129" s="19">
        <v>80</v>
      </c>
      <c r="J129" s="19">
        <v>140</v>
      </c>
      <c r="K129" s="19">
        <v>24</v>
      </c>
      <c r="L129" s="19">
        <v>94</v>
      </c>
      <c r="M129" s="19">
        <v>219</v>
      </c>
      <c r="N129" s="19">
        <v>36</v>
      </c>
    </row>
    <row r="130" spans="1:14" x14ac:dyDescent="0.3">
      <c r="A130" s="10">
        <v>650</v>
      </c>
      <c r="B130" s="6">
        <v>44562</v>
      </c>
      <c r="C130" s="21" t="s">
        <v>101</v>
      </c>
      <c r="D130" s="21" t="s">
        <v>95</v>
      </c>
      <c r="E130" s="21" t="s">
        <v>100</v>
      </c>
      <c r="F130" s="21" t="s">
        <v>75</v>
      </c>
      <c r="G130" s="21" t="s">
        <v>76</v>
      </c>
      <c r="H130" s="21" t="s">
        <v>80</v>
      </c>
      <c r="I130" s="19">
        <v>60</v>
      </c>
      <c r="J130" s="19">
        <v>90</v>
      </c>
      <c r="K130" s="19">
        <v>15</v>
      </c>
      <c r="L130" s="19">
        <v>54</v>
      </c>
      <c r="M130" s="19">
        <v>134</v>
      </c>
      <c r="N130" s="19">
        <v>26</v>
      </c>
    </row>
    <row r="131" spans="1:14" x14ac:dyDescent="0.3">
      <c r="A131" s="10">
        <v>760</v>
      </c>
      <c r="B131" s="6">
        <v>44562</v>
      </c>
      <c r="C131" s="21" t="s">
        <v>102</v>
      </c>
      <c r="D131" s="21" t="s">
        <v>95</v>
      </c>
      <c r="E131" s="21" t="s">
        <v>100</v>
      </c>
      <c r="F131" s="21" t="s">
        <v>75</v>
      </c>
      <c r="G131" s="21" t="s">
        <v>76</v>
      </c>
      <c r="H131" s="21" t="s">
        <v>80</v>
      </c>
      <c r="I131" s="19">
        <v>50</v>
      </c>
      <c r="J131" s="19">
        <v>120</v>
      </c>
      <c r="K131" s="19">
        <v>23</v>
      </c>
      <c r="L131" s="19">
        <v>54</v>
      </c>
      <c r="M131" s="19">
        <v>180</v>
      </c>
      <c r="N131" s="19">
        <v>54</v>
      </c>
    </row>
    <row r="132" spans="1:14" x14ac:dyDescent="0.3">
      <c r="A132" s="10">
        <v>641</v>
      </c>
      <c r="B132" s="6">
        <v>44562</v>
      </c>
      <c r="C132" s="21" t="s">
        <v>94</v>
      </c>
      <c r="D132" s="21" t="s">
        <v>95</v>
      </c>
      <c r="E132" s="21" t="s">
        <v>96</v>
      </c>
      <c r="F132" s="21" t="s">
        <v>12</v>
      </c>
      <c r="G132" s="21" t="s">
        <v>68</v>
      </c>
      <c r="H132" s="21" t="s">
        <v>69</v>
      </c>
      <c r="I132" s="19">
        <v>200</v>
      </c>
      <c r="J132" s="19">
        <v>480</v>
      </c>
      <c r="K132" s="19">
        <v>77</v>
      </c>
      <c r="L132" s="19">
        <v>202</v>
      </c>
      <c r="M132" s="19">
        <v>546</v>
      </c>
      <c r="N132" s="19">
        <v>110</v>
      </c>
    </row>
    <row r="133" spans="1:14" x14ac:dyDescent="0.3">
      <c r="A133" s="10">
        <v>573</v>
      </c>
      <c r="B133" s="6">
        <v>44562</v>
      </c>
      <c r="C133" s="21" t="s">
        <v>94</v>
      </c>
      <c r="D133" s="21" t="s">
        <v>95</v>
      </c>
      <c r="E133" s="21" t="s">
        <v>96</v>
      </c>
      <c r="F133" s="21" t="s">
        <v>86</v>
      </c>
      <c r="G133" s="21" t="s">
        <v>68</v>
      </c>
      <c r="H133" s="21" t="s">
        <v>69</v>
      </c>
      <c r="I133" s="19">
        <v>0</v>
      </c>
      <c r="J133" s="19">
        <v>70</v>
      </c>
      <c r="K133" s="19">
        <v>34</v>
      </c>
      <c r="L133" s="19">
        <v>-11</v>
      </c>
      <c r="M133" s="19">
        <v>90</v>
      </c>
      <c r="N133" s="19">
        <v>64</v>
      </c>
    </row>
    <row r="134" spans="1:14" x14ac:dyDescent="0.3">
      <c r="A134" s="10">
        <v>715</v>
      </c>
      <c r="B134" s="6">
        <v>44562</v>
      </c>
      <c r="C134" s="21" t="s">
        <v>94</v>
      </c>
      <c r="D134" s="21" t="s">
        <v>95</v>
      </c>
      <c r="E134" s="21" t="s">
        <v>96</v>
      </c>
      <c r="F134" s="21" t="s">
        <v>87</v>
      </c>
      <c r="G134" s="21" t="s">
        <v>68</v>
      </c>
      <c r="H134" s="21" t="s">
        <v>69</v>
      </c>
      <c r="I134" s="19">
        <v>80</v>
      </c>
      <c r="J134" s="19">
        <v>150</v>
      </c>
      <c r="K134" s="19">
        <v>20</v>
      </c>
      <c r="L134" s="19">
        <v>70</v>
      </c>
      <c r="M134" s="19">
        <v>180</v>
      </c>
      <c r="N134" s="19">
        <v>43</v>
      </c>
    </row>
    <row r="135" spans="1:14" x14ac:dyDescent="0.3">
      <c r="A135" s="10">
        <v>563</v>
      </c>
      <c r="B135" s="6">
        <v>44562</v>
      </c>
      <c r="C135" s="21" t="s">
        <v>97</v>
      </c>
      <c r="D135" s="21" t="s">
        <v>95</v>
      </c>
      <c r="E135" s="21" t="s">
        <v>96</v>
      </c>
      <c r="F135" s="21" t="s">
        <v>12</v>
      </c>
      <c r="G135" s="21" t="s">
        <v>68</v>
      </c>
      <c r="H135" s="21" t="s">
        <v>69</v>
      </c>
      <c r="I135" s="19">
        <v>90</v>
      </c>
      <c r="J135" s="19">
        <v>200</v>
      </c>
      <c r="K135" s="19">
        <v>30</v>
      </c>
      <c r="L135" s="19">
        <v>86</v>
      </c>
      <c r="M135" s="19">
        <v>234</v>
      </c>
      <c r="N135" s="19">
        <v>53</v>
      </c>
    </row>
    <row r="136" spans="1:14" x14ac:dyDescent="0.3">
      <c r="A136" s="10">
        <v>314</v>
      </c>
      <c r="B136" s="6">
        <v>44562</v>
      </c>
      <c r="C136" s="21" t="s">
        <v>97</v>
      </c>
      <c r="D136" s="21" t="s">
        <v>95</v>
      </c>
      <c r="E136" s="21" t="s">
        <v>96</v>
      </c>
      <c r="F136" s="21" t="s">
        <v>86</v>
      </c>
      <c r="G136" s="21" t="s">
        <v>68</v>
      </c>
      <c r="H136" s="21" t="s">
        <v>69</v>
      </c>
      <c r="I136" s="19">
        <v>-20</v>
      </c>
      <c r="J136" s="19">
        <v>80</v>
      </c>
      <c r="K136" s="19">
        <v>27</v>
      </c>
      <c r="L136" s="19">
        <v>-39</v>
      </c>
      <c r="M136" s="19">
        <v>99</v>
      </c>
      <c r="N136" s="19">
        <v>50</v>
      </c>
    </row>
    <row r="137" spans="1:14" x14ac:dyDescent="0.3">
      <c r="A137" s="10">
        <v>715</v>
      </c>
      <c r="B137" s="6">
        <v>44562</v>
      </c>
      <c r="C137" s="21" t="s">
        <v>97</v>
      </c>
      <c r="D137" s="21" t="s">
        <v>95</v>
      </c>
      <c r="E137" s="21" t="s">
        <v>96</v>
      </c>
      <c r="F137" s="21" t="s">
        <v>87</v>
      </c>
      <c r="G137" s="21" t="s">
        <v>68</v>
      </c>
      <c r="H137" s="21" t="s">
        <v>69</v>
      </c>
      <c r="I137" s="19">
        <v>50</v>
      </c>
      <c r="J137" s="19">
        <v>70</v>
      </c>
      <c r="K137" s="19">
        <v>9</v>
      </c>
      <c r="L137" s="19">
        <v>28</v>
      </c>
      <c r="M137" s="19">
        <v>81</v>
      </c>
      <c r="N137" s="19">
        <v>20</v>
      </c>
    </row>
    <row r="138" spans="1:14" x14ac:dyDescent="0.3">
      <c r="A138" s="10">
        <v>860</v>
      </c>
      <c r="B138" s="6">
        <v>44562</v>
      </c>
      <c r="C138" s="21" t="s">
        <v>97</v>
      </c>
      <c r="D138" s="21" t="s">
        <v>95</v>
      </c>
      <c r="E138" s="21" t="s">
        <v>96</v>
      </c>
      <c r="F138" s="21" t="s">
        <v>93</v>
      </c>
      <c r="G138" s="21" t="s">
        <v>72</v>
      </c>
      <c r="H138" s="21" t="s">
        <v>69</v>
      </c>
      <c r="I138" s="19">
        <v>40</v>
      </c>
      <c r="J138" s="19">
        <v>140</v>
      </c>
      <c r="K138" s="19">
        <v>32</v>
      </c>
      <c r="L138" s="19">
        <v>40</v>
      </c>
      <c r="M138" s="19">
        <v>190</v>
      </c>
      <c r="N138" s="19">
        <v>65</v>
      </c>
    </row>
    <row r="139" spans="1:14" x14ac:dyDescent="0.3">
      <c r="A139" s="10">
        <v>603</v>
      </c>
      <c r="B139" s="6">
        <v>44562</v>
      </c>
      <c r="C139" s="21" t="s">
        <v>97</v>
      </c>
      <c r="D139" s="21" t="s">
        <v>95</v>
      </c>
      <c r="E139" s="21" t="s">
        <v>96</v>
      </c>
      <c r="F139" s="21" t="s">
        <v>18</v>
      </c>
      <c r="G139" s="21" t="s">
        <v>72</v>
      </c>
      <c r="H139" s="21" t="s">
        <v>69</v>
      </c>
      <c r="I139" s="19">
        <v>0</v>
      </c>
      <c r="J139" s="19">
        <v>50</v>
      </c>
      <c r="K139" s="19">
        <v>12</v>
      </c>
      <c r="L139" s="19">
        <v>-4</v>
      </c>
      <c r="M139" s="19">
        <v>76</v>
      </c>
      <c r="N139" s="19">
        <v>46</v>
      </c>
    </row>
    <row r="140" spans="1:14" x14ac:dyDescent="0.3">
      <c r="A140" s="10">
        <v>475</v>
      </c>
      <c r="B140" s="6">
        <v>44562</v>
      </c>
      <c r="C140" s="21" t="s">
        <v>98</v>
      </c>
      <c r="D140" s="21" t="s">
        <v>95</v>
      </c>
      <c r="E140" s="21" t="s">
        <v>96</v>
      </c>
      <c r="F140" s="21" t="s">
        <v>93</v>
      </c>
      <c r="G140" s="21" t="s">
        <v>72</v>
      </c>
      <c r="H140" s="21" t="s">
        <v>69</v>
      </c>
      <c r="I140" s="19">
        <v>50</v>
      </c>
      <c r="J140" s="19">
        <v>130</v>
      </c>
      <c r="K140" s="19">
        <v>24</v>
      </c>
      <c r="L140" s="19">
        <v>47</v>
      </c>
      <c r="M140" s="19">
        <v>170</v>
      </c>
      <c r="N140" s="19">
        <v>45</v>
      </c>
    </row>
    <row r="141" spans="1:14" x14ac:dyDescent="0.3">
      <c r="A141" s="10">
        <v>337</v>
      </c>
      <c r="B141" s="6">
        <v>44562</v>
      </c>
      <c r="C141" s="21" t="s">
        <v>94</v>
      </c>
      <c r="D141" s="21" t="s">
        <v>95</v>
      </c>
      <c r="E141" s="21" t="s">
        <v>96</v>
      </c>
      <c r="F141" s="21" t="s">
        <v>88</v>
      </c>
      <c r="G141" s="21" t="s">
        <v>74</v>
      </c>
      <c r="H141" s="21" t="s">
        <v>69</v>
      </c>
      <c r="I141" s="19">
        <v>40</v>
      </c>
      <c r="J141" s="19">
        <v>100</v>
      </c>
      <c r="K141" s="19">
        <v>16</v>
      </c>
      <c r="L141" s="19">
        <v>35</v>
      </c>
      <c r="M141" s="19">
        <v>112</v>
      </c>
      <c r="N141" s="19">
        <v>28</v>
      </c>
    </row>
    <row r="142" spans="1:14" x14ac:dyDescent="0.3">
      <c r="A142" s="10">
        <v>505</v>
      </c>
      <c r="B142" s="6">
        <v>44562</v>
      </c>
      <c r="C142" s="21" t="s">
        <v>94</v>
      </c>
      <c r="D142" s="21" t="s">
        <v>95</v>
      </c>
      <c r="E142" s="21" t="s">
        <v>96</v>
      </c>
      <c r="F142" s="21" t="s">
        <v>24</v>
      </c>
      <c r="G142" s="21" t="s">
        <v>74</v>
      </c>
      <c r="H142" s="21" t="s">
        <v>69</v>
      </c>
      <c r="I142" s="19">
        <v>20</v>
      </c>
      <c r="J142" s="19">
        <v>40</v>
      </c>
      <c r="K142" s="19">
        <v>5</v>
      </c>
      <c r="L142" s="19">
        <v>11</v>
      </c>
      <c r="M142" s="19">
        <v>45</v>
      </c>
      <c r="N142" s="19">
        <v>16</v>
      </c>
    </row>
    <row r="143" spans="1:14" x14ac:dyDescent="0.3">
      <c r="A143" s="10">
        <v>918</v>
      </c>
      <c r="B143" s="6">
        <v>44562</v>
      </c>
      <c r="C143" s="21" t="s">
        <v>94</v>
      </c>
      <c r="D143" s="21" t="s">
        <v>95</v>
      </c>
      <c r="E143" s="21" t="s">
        <v>96</v>
      </c>
      <c r="F143" s="21" t="s">
        <v>89</v>
      </c>
      <c r="G143" s="21" t="s">
        <v>74</v>
      </c>
      <c r="H143" s="21" t="s">
        <v>69</v>
      </c>
      <c r="I143" s="19">
        <v>20</v>
      </c>
      <c r="J143" s="19">
        <v>110</v>
      </c>
      <c r="K143" s="19">
        <v>20</v>
      </c>
      <c r="L143" s="19">
        <v>13</v>
      </c>
      <c r="M143" s="19">
        <v>120</v>
      </c>
      <c r="N143" s="19">
        <v>53</v>
      </c>
    </row>
    <row r="144" spans="1:14" x14ac:dyDescent="0.3">
      <c r="A144" s="10">
        <v>504</v>
      </c>
      <c r="B144" s="6">
        <v>44562</v>
      </c>
      <c r="C144" s="21" t="s">
        <v>97</v>
      </c>
      <c r="D144" s="21" t="s">
        <v>95</v>
      </c>
      <c r="E144" s="21" t="s">
        <v>96</v>
      </c>
      <c r="F144" s="21" t="s">
        <v>88</v>
      </c>
      <c r="G144" s="21" t="s">
        <v>74</v>
      </c>
      <c r="H144" s="21" t="s">
        <v>69</v>
      </c>
      <c r="I144" s="19">
        <v>40</v>
      </c>
      <c r="J144" s="19">
        <v>180</v>
      </c>
      <c r="K144" s="19">
        <v>32</v>
      </c>
      <c r="L144" s="19">
        <v>40</v>
      </c>
      <c r="M144" s="19">
        <v>190</v>
      </c>
      <c r="N144" s="19">
        <v>65</v>
      </c>
    </row>
    <row r="145" spans="1:14" x14ac:dyDescent="0.3">
      <c r="A145" s="10">
        <v>505</v>
      </c>
      <c r="B145" s="6">
        <v>44562</v>
      </c>
      <c r="C145" s="21" t="s">
        <v>97</v>
      </c>
      <c r="D145" s="21" t="s">
        <v>95</v>
      </c>
      <c r="E145" s="21" t="s">
        <v>96</v>
      </c>
      <c r="F145" s="21" t="s">
        <v>24</v>
      </c>
      <c r="G145" s="21" t="s">
        <v>74</v>
      </c>
      <c r="H145" s="21" t="s">
        <v>69</v>
      </c>
      <c r="I145" s="19">
        <v>20</v>
      </c>
      <c r="J145" s="19">
        <v>60</v>
      </c>
      <c r="K145" s="19">
        <v>8</v>
      </c>
      <c r="L145" s="19">
        <v>4</v>
      </c>
      <c r="M145" s="19">
        <v>62</v>
      </c>
      <c r="N145" s="19">
        <v>30</v>
      </c>
    </row>
    <row r="146" spans="1:14" x14ac:dyDescent="0.3">
      <c r="A146" s="10">
        <v>580</v>
      </c>
      <c r="B146" s="6">
        <v>44562</v>
      </c>
      <c r="C146" s="21" t="s">
        <v>97</v>
      </c>
      <c r="D146" s="21" t="s">
        <v>95</v>
      </c>
      <c r="E146" s="21" t="s">
        <v>96</v>
      </c>
      <c r="F146" s="21" t="s">
        <v>89</v>
      </c>
      <c r="G146" s="21" t="s">
        <v>74</v>
      </c>
      <c r="H146" s="21" t="s">
        <v>69</v>
      </c>
      <c r="I146" s="19">
        <v>30</v>
      </c>
      <c r="J146" s="19">
        <v>180</v>
      </c>
      <c r="K146" s="19">
        <v>72</v>
      </c>
      <c r="L146" s="19">
        <v>10</v>
      </c>
      <c r="M146" s="19">
        <v>190</v>
      </c>
      <c r="N146" s="19">
        <v>101</v>
      </c>
    </row>
    <row r="147" spans="1:14" x14ac:dyDescent="0.3">
      <c r="A147" s="10">
        <v>702</v>
      </c>
      <c r="B147" s="6">
        <v>44562</v>
      </c>
      <c r="C147" s="21" t="s">
        <v>94</v>
      </c>
      <c r="D147" s="21" t="s">
        <v>95</v>
      </c>
      <c r="E147" s="21" t="s">
        <v>96</v>
      </c>
      <c r="F147" s="21" t="s">
        <v>15</v>
      </c>
      <c r="G147" s="21" t="s">
        <v>76</v>
      </c>
      <c r="H147" s="21" t="s">
        <v>69</v>
      </c>
      <c r="I147" s="19">
        <v>30</v>
      </c>
      <c r="J147" s="19">
        <v>220</v>
      </c>
      <c r="K147" s="19">
        <v>95</v>
      </c>
      <c r="L147" s="19">
        <v>16</v>
      </c>
      <c r="M147" s="19">
        <v>250</v>
      </c>
      <c r="N147" s="19">
        <v>129</v>
      </c>
    </row>
    <row r="148" spans="1:14" x14ac:dyDescent="0.3">
      <c r="A148" s="10">
        <v>971</v>
      </c>
      <c r="B148" s="6">
        <v>44562</v>
      </c>
      <c r="C148" s="21" t="s">
        <v>94</v>
      </c>
      <c r="D148" s="21" t="s">
        <v>95</v>
      </c>
      <c r="E148" s="21" t="s">
        <v>96</v>
      </c>
      <c r="F148" s="21" t="s">
        <v>90</v>
      </c>
      <c r="G148" s="21" t="s">
        <v>76</v>
      </c>
      <c r="H148" s="21" t="s">
        <v>69</v>
      </c>
      <c r="I148" s="19">
        <v>40</v>
      </c>
      <c r="J148" s="19">
        <v>70</v>
      </c>
      <c r="K148" s="19">
        <v>10</v>
      </c>
      <c r="L148" s="19">
        <v>33</v>
      </c>
      <c r="M148" s="19">
        <v>90</v>
      </c>
      <c r="N148" s="19">
        <v>21</v>
      </c>
    </row>
    <row r="149" spans="1:14" x14ac:dyDescent="0.3">
      <c r="A149" s="10">
        <v>801</v>
      </c>
      <c r="B149" s="6">
        <v>44562</v>
      </c>
      <c r="C149" s="21" t="s">
        <v>94</v>
      </c>
      <c r="D149" s="21" t="s">
        <v>95</v>
      </c>
      <c r="E149" s="21" t="s">
        <v>96</v>
      </c>
      <c r="F149" s="21" t="s">
        <v>91</v>
      </c>
      <c r="G149" s="21" t="s">
        <v>76</v>
      </c>
      <c r="H149" s="21" t="s">
        <v>69</v>
      </c>
      <c r="I149" s="19">
        <v>30</v>
      </c>
      <c r="J149" s="19">
        <v>80</v>
      </c>
      <c r="K149" s="19">
        <v>12</v>
      </c>
      <c r="L149" s="19">
        <v>21</v>
      </c>
      <c r="M149" s="19">
        <v>93</v>
      </c>
      <c r="N149" s="19">
        <v>34</v>
      </c>
    </row>
    <row r="150" spans="1:14" x14ac:dyDescent="0.3">
      <c r="A150" s="10">
        <v>206</v>
      </c>
      <c r="B150" s="6">
        <v>44562</v>
      </c>
      <c r="C150" s="21" t="s">
        <v>94</v>
      </c>
      <c r="D150" s="21" t="s">
        <v>95</v>
      </c>
      <c r="E150" s="21" t="s">
        <v>96</v>
      </c>
      <c r="F150" s="21" t="s">
        <v>92</v>
      </c>
      <c r="G150" s="21" t="s">
        <v>76</v>
      </c>
      <c r="H150" s="21" t="s">
        <v>69</v>
      </c>
      <c r="I150" s="19">
        <v>120</v>
      </c>
      <c r="J150" s="19">
        <v>270</v>
      </c>
      <c r="K150" s="19">
        <v>40</v>
      </c>
      <c r="L150" s="19">
        <v>115</v>
      </c>
      <c r="M150" s="19">
        <v>310</v>
      </c>
      <c r="N150" s="19">
        <v>71</v>
      </c>
    </row>
    <row r="151" spans="1:14" x14ac:dyDescent="0.3">
      <c r="A151" s="10">
        <v>775</v>
      </c>
      <c r="B151" s="6">
        <v>44562</v>
      </c>
      <c r="C151" s="21" t="s">
        <v>97</v>
      </c>
      <c r="D151" s="21" t="s">
        <v>95</v>
      </c>
      <c r="E151" s="21" t="s">
        <v>96</v>
      </c>
      <c r="F151" s="21" t="s">
        <v>15</v>
      </c>
      <c r="G151" s="21" t="s">
        <v>76</v>
      </c>
      <c r="H151" s="21" t="s">
        <v>69</v>
      </c>
      <c r="I151" s="19">
        <v>120</v>
      </c>
      <c r="J151" s="19">
        <v>300</v>
      </c>
      <c r="K151" s="19">
        <v>47</v>
      </c>
      <c r="L151" s="19">
        <v>111</v>
      </c>
      <c r="M151" s="19">
        <v>345</v>
      </c>
      <c r="N151" s="19">
        <v>90</v>
      </c>
    </row>
    <row r="152" spans="1:14" x14ac:dyDescent="0.3">
      <c r="A152" s="10">
        <v>503</v>
      </c>
      <c r="B152" s="6">
        <v>44562</v>
      </c>
      <c r="C152" s="21" t="s">
        <v>97</v>
      </c>
      <c r="D152" s="21" t="s">
        <v>95</v>
      </c>
      <c r="E152" s="21" t="s">
        <v>96</v>
      </c>
      <c r="F152" s="21" t="s">
        <v>90</v>
      </c>
      <c r="G152" s="21" t="s">
        <v>76</v>
      </c>
      <c r="H152" s="21" t="s">
        <v>69</v>
      </c>
      <c r="I152" s="19">
        <v>30</v>
      </c>
      <c r="J152" s="19">
        <v>80</v>
      </c>
      <c r="K152" s="19">
        <v>14</v>
      </c>
      <c r="L152" s="19">
        <v>29</v>
      </c>
      <c r="M152" s="19">
        <v>100</v>
      </c>
      <c r="N152" s="19">
        <v>27</v>
      </c>
    </row>
    <row r="153" spans="1:14" x14ac:dyDescent="0.3">
      <c r="A153" s="10">
        <v>435</v>
      </c>
      <c r="B153" s="6">
        <v>44562</v>
      </c>
      <c r="C153" s="21" t="s">
        <v>97</v>
      </c>
      <c r="D153" s="21" t="s">
        <v>95</v>
      </c>
      <c r="E153" s="21" t="s">
        <v>96</v>
      </c>
      <c r="F153" s="21" t="s">
        <v>91</v>
      </c>
      <c r="G153" s="21" t="s">
        <v>76</v>
      </c>
      <c r="H153" s="21" t="s">
        <v>69</v>
      </c>
      <c r="I153" s="19">
        <v>30</v>
      </c>
      <c r="J153" s="19">
        <v>100</v>
      </c>
      <c r="K153" s="19">
        <v>15</v>
      </c>
      <c r="L153" s="19">
        <v>25</v>
      </c>
      <c r="M153" s="19">
        <v>120</v>
      </c>
      <c r="N153" s="19">
        <v>47</v>
      </c>
    </row>
    <row r="154" spans="1:14" x14ac:dyDescent="0.3">
      <c r="A154" s="10">
        <v>360</v>
      </c>
      <c r="B154" s="6">
        <v>44562</v>
      </c>
      <c r="C154" s="21" t="s">
        <v>97</v>
      </c>
      <c r="D154" s="21" t="s">
        <v>95</v>
      </c>
      <c r="E154" s="21" t="s">
        <v>96</v>
      </c>
      <c r="F154" s="21" t="s">
        <v>92</v>
      </c>
      <c r="G154" s="21" t="s">
        <v>76</v>
      </c>
      <c r="H154" s="21" t="s">
        <v>69</v>
      </c>
      <c r="I154" s="19">
        <v>50</v>
      </c>
      <c r="J154" s="19">
        <v>70</v>
      </c>
      <c r="K154" s="19">
        <v>9</v>
      </c>
      <c r="L154" s="19">
        <v>30</v>
      </c>
      <c r="M154" s="19">
        <v>85</v>
      </c>
      <c r="N154" s="19">
        <v>21</v>
      </c>
    </row>
    <row r="155" spans="1:14" x14ac:dyDescent="0.3">
      <c r="A155" s="10">
        <v>702</v>
      </c>
      <c r="B155" s="6">
        <v>44562</v>
      </c>
      <c r="C155" s="21" t="s">
        <v>98</v>
      </c>
      <c r="D155" s="21" t="s">
        <v>95</v>
      </c>
      <c r="E155" s="21" t="s">
        <v>96</v>
      </c>
      <c r="F155" s="21" t="s">
        <v>15</v>
      </c>
      <c r="G155" s="21" t="s">
        <v>76</v>
      </c>
      <c r="H155" s="21" t="s">
        <v>69</v>
      </c>
      <c r="I155" s="19">
        <v>90</v>
      </c>
      <c r="J155" s="19">
        <v>200</v>
      </c>
      <c r="K155" s="19">
        <v>30</v>
      </c>
      <c r="L155" s="19">
        <v>86</v>
      </c>
      <c r="M155" s="19">
        <v>234</v>
      </c>
      <c r="N155" s="19">
        <v>53</v>
      </c>
    </row>
    <row r="156" spans="1:14" x14ac:dyDescent="0.3">
      <c r="A156" s="10">
        <v>435</v>
      </c>
      <c r="B156" s="6">
        <v>44562</v>
      </c>
      <c r="C156" s="21" t="s">
        <v>98</v>
      </c>
      <c r="D156" s="21" t="s">
        <v>95</v>
      </c>
      <c r="E156" s="21" t="s">
        <v>96</v>
      </c>
      <c r="F156" s="21" t="s">
        <v>91</v>
      </c>
      <c r="G156" s="21" t="s">
        <v>76</v>
      </c>
      <c r="H156" s="21" t="s">
        <v>69</v>
      </c>
      <c r="I156" s="19">
        <v>-30</v>
      </c>
      <c r="J156" s="19">
        <v>80</v>
      </c>
      <c r="K156" s="19">
        <v>27</v>
      </c>
      <c r="L156" s="19">
        <v>-40</v>
      </c>
      <c r="M156" s="19">
        <v>99</v>
      </c>
      <c r="N156" s="19">
        <v>51</v>
      </c>
    </row>
    <row r="157" spans="1:14" x14ac:dyDescent="0.3">
      <c r="A157" s="10">
        <v>712</v>
      </c>
      <c r="B157" s="6">
        <v>44562</v>
      </c>
      <c r="C157" s="21" t="s">
        <v>99</v>
      </c>
      <c r="D157" s="21" t="s">
        <v>95</v>
      </c>
      <c r="E157" s="21" t="s">
        <v>100</v>
      </c>
      <c r="F157" s="21" t="s">
        <v>12</v>
      </c>
      <c r="G157" s="21" t="s">
        <v>68</v>
      </c>
      <c r="H157" s="21" t="s">
        <v>80</v>
      </c>
      <c r="I157" s="19">
        <v>140</v>
      </c>
      <c r="J157" s="19">
        <v>400</v>
      </c>
      <c r="K157" s="19">
        <v>63</v>
      </c>
      <c r="L157" s="19">
        <v>141</v>
      </c>
      <c r="M157" s="19">
        <v>456</v>
      </c>
      <c r="N157" s="19">
        <v>87</v>
      </c>
    </row>
    <row r="158" spans="1:14" x14ac:dyDescent="0.3">
      <c r="A158" s="10">
        <v>314</v>
      </c>
      <c r="B158" s="6">
        <v>44562</v>
      </c>
      <c r="C158" s="21" t="s">
        <v>99</v>
      </c>
      <c r="D158" s="21" t="s">
        <v>95</v>
      </c>
      <c r="E158" s="21" t="s">
        <v>100</v>
      </c>
      <c r="F158" s="21" t="s">
        <v>86</v>
      </c>
      <c r="G158" s="21" t="s">
        <v>68</v>
      </c>
      <c r="H158" s="21" t="s">
        <v>80</v>
      </c>
      <c r="I158" s="19">
        <v>10</v>
      </c>
      <c r="J158" s="19">
        <v>70</v>
      </c>
      <c r="K158" s="19">
        <v>11</v>
      </c>
      <c r="L158" s="19">
        <v>9</v>
      </c>
      <c r="M158" s="19">
        <v>82</v>
      </c>
      <c r="N158" s="19">
        <v>38</v>
      </c>
    </row>
    <row r="159" spans="1:14" x14ac:dyDescent="0.3">
      <c r="A159" s="10">
        <v>608</v>
      </c>
      <c r="B159" s="6">
        <v>44562</v>
      </c>
      <c r="C159" s="21" t="s">
        <v>99</v>
      </c>
      <c r="D159" s="21" t="s">
        <v>95</v>
      </c>
      <c r="E159" s="21" t="s">
        <v>100</v>
      </c>
      <c r="F159" s="21" t="s">
        <v>87</v>
      </c>
      <c r="G159" s="21" t="s">
        <v>68</v>
      </c>
      <c r="H159" s="21" t="s">
        <v>80</v>
      </c>
      <c r="I159" s="19">
        <v>50</v>
      </c>
      <c r="J159" s="19">
        <v>130</v>
      </c>
      <c r="K159" s="19">
        <v>19</v>
      </c>
      <c r="L159" s="19">
        <v>47</v>
      </c>
      <c r="M159" s="19">
        <v>150</v>
      </c>
      <c r="N159" s="19">
        <v>42</v>
      </c>
    </row>
    <row r="160" spans="1:14" x14ac:dyDescent="0.3">
      <c r="A160" s="10">
        <v>319</v>
      </c>
      <c r="B160" s="6">
        <v>44562</v>
      </c>
      <c r="C160" s="21" t="s">
        <v>101</v>
      </c>
      <c r="D160" s="21" t="s">
        <v>95</v>
      </c>
      <c r="E160" s="21" t="s">
        <v>100</v>
      </c>
      <c r="F160" s="21" t="s">
        <v>12</v>
      </c>
      <c r="G160" s="21" t="s">
        <v>68</v>
      </c>
      <c r="H160" s="21" t="s">
        <v>80</v>
      </c>
      <c r="I160" s="19">
        <v>160</v>
      </c>
      <c r="J160" s="19">
        <v>480</v>
      </c>
      <c r="K160" s="19">
        <v>93</v>
      </c>
      <c r="L160" s="19">
        <v>175</v>
      </c>
      <c r="M160" s="19">
        <v>546</v>
      </c>
      <c r="N160" s="19">
        <v>126</v>
      </c>
    </row>
    <row r="161" spans="1:14" x14ac:dyDescent="0.3">
      <c r="A161" s="10">
        <v>573</v>
      </c>
      <c r="B161" s="6">
        <v>44562</v>
      </c>
      <c r="C161" s="21" t="s">
        <v>101</v>
      </c>
      <c r="D161" s="21" t="s">
        <v>95</v>
      </c>
      <c r="E161" s="21" t="s">
        <v>100</v>
      </c>
      <c r="F161" s="21" t="s">
        <v>86</v>
      </c>
      <c r="G161" s="21" t="s">
        <v>68</v>
      </c>
      <c r="H161" s="21" t="s">
        <v>80</v>
      </c>
      <c r="I161" s="19">
        <v>-10</v>
      </c>
      <c r="J161" s="19">
        <v>50</v>
      </c>
      <c r="K161" s="19">
        <v>11</v>
      </c>
      <c r="L161" s="19">
        <v>-9</v>
      </c>
      <c r="M161" s="19">
        <v>65</v>
      </c>
      <c r="N161" s="19">
        <v>45</v>
      </c>
    </row>
    <row r="162" spans="1:14" x14ac:dyDescent="0.3">
      <c r="A162" s="10">
        <v>262</v>
      </c>
      <c r="B162" s="6">
        <v>44562</v>
      </c>
      <c r="C162" s="21" t="s">
        <v>101</v>
      </c>
      <c r="D162" s="21" t="s">
        <v>95</v>
      </c>
      <c r="E162" s="21" t="s">
        <v>100</v>
      </c>
      <c r="F162" s="21" t="s">
        <v>87</v>
      </c>
      <c r="G162" s="21" t="s">
        <v>68</v>
      </c>
      <c r="H162" s="21" t="s">
        <v>80</v>
      </c>
      <c r="I162" s="19">
        <v>10</v>
      </c>
      <c r="J162" s="19">
        <v>150</v>
      </c>
      <c r="K162" s="19">
        <v>68</v>
      </c>
      <c r="L162" s="19">
        <v>7</v>
      </c>
      <c r="M162" s="19">
        <v>180</v>
      </c>
      <c r="N162" s="19">
        <v>98</v>
      </c>
    </row>
    <row r="163" spans="1:14" x14ac:dyDescent="0.3">
      <c r="A163" s="10">
        <v>417</v>
      </c>
      <c r="B163" s="6">
        <v>44562</v>
      </c>
      <c r="C163" s="21" t="s">
        <v>102</v>
      </c>
      <c r="D163" s="21" t="s">
        <v>95</v>
      </c>
      <c r="E163" s="21" t="s">
        <v>100</v>
      </c>
      <c r="F163" s="21" t="s">
        <v>86</v>
      </c>
      <c r="G163" s="21" t="s">
        <v>68</v>
      </c>
      <c r="H163" s="21" t="s">
        <v>80</v>
      </c>
      <c r="I163" s="19">
        <v>0</v>
      </c>
      <c r="J163" s="19">
        <v>60</v>
      </c>
      <c r="K163" s="19">
        <v>12</v>
      </c>
      <c r="L163" s="19">
        <v>-4</v>
      </c>
      <c r="M163" s="19">
        <v>76</v>
      </c>
      <c r="N163" s="19">
        <v>46</v>
      </c>
    </row>
    <row r="164" spans="1:14" x14ac:dyDescent="0.3">
      <c r="A164" s="10">
        <v>475</v>
      </c>
      <c r="B164" s="6">
        <v>44562</v>
      </c>
      <c r="C164" s="21" t="s">
        <v>99</v>
      </c>
      <c r="D164" s="21" t="s">
        <v>95</v>
      </c>
      <c r="E164" s="21" t="s">
        <v>100</v>
      </c>
      <c r="F164" s="21" t="s">
        <v>93</v>
      </c>
      <c r="G164" s="21" t="s">
        <v>72</v>
      </c>
      <c r="H164" s="21" t="s">
        <v>80</v>
      </c>
      <c r="I164" s="19">
        <v>60</v>
      </c>
      <c r="J164" s="19">
        <v>130</v>
      </c>
      <c r="K164" s="19">
        <v>14</v>
      </c>
      <c r="L164" s="19">
        <v>47</v>
      </c>
      <c r="M164" s="19">
        <v>123</v>
      </c>
      <c r="N164" s="19">
        <v>26</v>
      </c>
    </row>
    <row r="165" spans="1:14" x14ac:dyDescent="0.3">
      <c r="A165" s="10">
        <v>603</v>
      </c>
      <c r="B165" s="6">
        <v>44562</v>
      </c>
      <c r="C165" s="21" t="s">
        <v>99</v>
      </c>
      <c r="D165" s="21" t="s">
        <v>95</v>
      </c>
      <c r="E165" s="21" t="s">
        <v>100</v>
      </c>
      <c r="F165" s="21" t="s">
        <v>18</v>
      </c>
      <c r="G165" s="21" t="s">
        <v>72</v>
      </c>
      <c r="H165" s="21" t="s">
        <v>80</v>
      </c>
      <c r="I165" s="19">
        <v>20</v>
      </c>
      <c r="J165" s="19">
        <v>40</v>
      </c>
      <c r="K165" s="19">
        <v>5</v>
      </c>
      <c r="L165" s="19">
        <v>10</v>
      </c>
      <c r="M165" s="19">
        <v>45</v>
      </c>
      <c r="N165" s="19">
        <v>17</v>
      </c>
    </row>
    <row r="166" spans="1:14" x14ac:dyDescent="0.3">
      <c r="A166" s="10">
        <v>475</v>
      </c>
      <c r="B166" s="6">
        <v>44562</v>
      </c>
      <c r="C166" s="21" t="s">
        <v>102</v>
      </c>
      <c r="D166" s="21" t="s">
        <v>95</v>
      </c>
      <c r="E166" s="21" t="s">
        <v>100</v>
      </c>
      <c r="F166" s="21" t="s">
        <v>93</v>
      </c>
      <c r="G166" s="21" t="s">
        <v>72</v>
      </c>
      <c r="H166" s="21" t="s">
        <v>80</v>
      </c>
      <c r="I166" s="19">
        <v>40</v>
      </c>
      <c r="J166" s="19">
        <v>100</v>
      </c>
      <c r="K166" s="19">
        <v>10</v>
      </c>
      <c r="L166" s="19">
        <v>35</v>
      </c>
      <c r="M166" s="19">
        <v>94</v>
      </c>
      <c r="N166" s="19">
        <v>21</v>
      </c>
    </row>
    <row r="167" spans="1:14" x14ac:dyDescent="0.3">
      <c r="A167" s="10">
        <v>603</v>
      </c>
      <c r="B167" s="6">
        <v>44562</v>
      </c>
      <c r="C167" s="21" t="s">
        <v>102</v>
      </c>
      <c r="D167" s="21" t="s">
        <v>95</v>
      </c>
      <c r="E167" s="21" t="s">
        <v>100</v>
      </c>
      <c r="F167" s="21" t="s">
        <v>18</v>
      </c>
      <c r="G167" s="21" t="s">
        <v>72</v>
      </c>
      <c r="H167" s="21" t="s">
        <v>80</v>
      </c>
      <c r="I167" s="19">
        <v>20</v>
      </c>
      <c r="J167" s="19">
        <v>40</v>
      </c>
      <c r="K167" s="19">
        <v>4</v>
      </c>
      <c r="L167" s="19">
        <v>11</v>
      </c>
      <c r="M167" s="19">
        <v>43</v>
      </c>
      <c r="N167" s="19">
        <v>15</v>
      </c>
    </row>
    <row r="168" spans="1:14" x14ac:dyDescent="0.3">
      <c r="A168" s="10">
        <v>775</v>
      </c>
      <c r="B168" s="6">
        <v>44562</v>
      </c>
      <c r="C168" s="21" t="s">
        <v>99</v>
      </c>
      <c r="D168" s="21" t="s">
        <v>95</v>
      </c>
      <c r="E168" s="21" t="s">
        <v>100</v>
      </c>
      <c r="F168" s="21" t="s">
        <v>15</v>
      </c>
      <c r="G168" s="21" t="s">
        <v>76</v>
      </c>
      <c r="H168" s="21" t="s">
        <v>80</v>
      </c>
      <c r="I168" s="19">
        <v>150</v>
      </c>
      <c r="J168" s="19">
        <v>370</v>
      </c>
      <c r="K168" s="19">
        <v>77</v>
      </c>
      <c r="L168" s="19">
        <v>203</v>
      </c>
      <c r="M168" s="19">
        <v>546</v>
      </c>
      <c r="N168" s="19">
        <v>109</v>
      </c>
    </row>
    <row r="169" spans="1:14" x14ac:dyDescent="0.3">
      <c r="A169" s="10">
        <v>971</v>
      </c>
      <c r="B169" s="6">
        <v>44562</v>
      </c>
      <c r="C169" s="21" t="s">
        <v>99</v>
      </c>
      <c r="D169" s="21" t="s">
        <v>95</v>
      </c>
      <c r="E169" s="21" t="s">
        <v>100</v>
      </c>
      <c r="F169" s="21" t="s">
        <v>90</v>
      </c>
      <c r="G169" s="21" t="s">
        <v>76</v>
      </c>
      <c r="H169" s="21" t="s">
        <v>80</v>
      </c>
      <c r="I169" s="19">
        <v>30</v>
      </c>
      <c r="J169" s="19">
        <v>50</v>
      </c>
      <c r="K169" s="19">
        <v>8</v>
      </c>
      <c r="L169" s="19">
        <v>28</v>
      </c>
      <c r="M169" s="19">
        <v>80</v>
      </c>
      <c r="N169" s="19">
        <v>20</v>
      </c>
    </row>
    <row r="170" spans="1:14" x14ac:dyDescent="0.3">
      <c r="A170" s="10">
        <v>435</v>
      </c>
      <c r="B170" s="6">
        <v>44562</v>
      </c>
      <c r="C170" s="21" t="s">
        <v>99</v>
      </c>
      <c r="D170" s="21" t="s">
        <v>95</v>
      </c>
      <c r="E170" s="21" t="s">
        <v>100</v>
      </c>
      <c r="F170" s="21" t="s">
        <v>91</v>
      </c>
      <c r="G170" s="21" t="s">
        <v>76</v>
      </c>
      <c r="H170" s="21" t="s">
        <v>80</v>
      </c>
      <c r="I170" s="19">
        <v>0</v>
      </c>
      <c r="J170" s="19">
        <v>60</v>
      </c>
      <c r="K170" s="19">
        <v>34</v>
      </c>
      <c r="L170" s="19">
        <v>-10</v>
      </c>
      <c r="M170" s="19">
        <v>90</v>
      </c>
      <c r="N170" s="19">
        <v>63</v>
      </c>
    </row>
    <row r="171" spans="1:14" x14ac:dyDescent="0.3">
      <c r="A171" s="10">
        <v>360</v>
      </c>
      <c r="B171" s="6">
        <v>44562</v>
      </c>
      <c r="C171" s="21" t="s">
        <v>99</v>
      </c>
      <c r="D171" s="21" t="s">
        <v>95</v>
      </c>
      <c r="E171" s="21" t="s">
        <v>100</v>
      </c>
      <c r="F171" s="21" t="s">
        <v>92</v>
      </c>
      <c r="G171" s="21" t="s">
        <v>76</v>
      </c>
      <c r="H171" s="21" t="s">
        <v>80</v>
      </c>
      <c r="I171" s="19">
        <v>50</v>
      </c>
      <c r="J171" s="19">
        <v>120</v>
      </c>
      <c r="K171" s="19">
        <v>20</v>
      </c>
      <c r="L171" s="19">
        <v>70</v>
      </c>
      <c r="M171" s="19">
        <v>180</v>
      </c>
      <c r="N171" s="19">
        <v>43</v>
      </c>
    </row>
    <row r="172" spans="1:14" x14ac:dyDescent="0.3">
      <c r="A172" s="10">
        <v>775</v>
      </c>
      <c r="B172" s="6">
        <v>44562</v>
      </c>
      <c r="C172" s="21" t="s">
        <v>101</v>
      </c>
      <c r="D172" s="21" t="s">
        <v>95</v>
      </c>
      <c r="E172" s="21" t="s">
        <v>100</v>
      </c>
      <c r="F172" s="21" t="s">
        <v>15</v>
      </c>
      <c r="G172" s="21" t="s">
        <v>76</v>
      </c>
      <c r="H172" s="21" t="s">
        <v>80</v>
      </c>
      <c r="I172" s="19">
        <v>100</v>
      </c>
      <c r="J172" s="19">
        <v>310</v>
      </c>
      <c r="K172" s="19">
        <v>63</v>
      </c>
      <c r="L172" s="19">
        <v>141</v>
      </c>
      <c r="M172" s="19">
        <v>456</v>
      </c>
      <c r="N172" s="19">
        <v>87</v>
      </c>
    </row>
    <row r="173" spans="1:14" x14ac:dyDescent="0.3">
      <c r="A173" s="10">
        <v>503</v>
      </c>
      <c r="B173" s="6">
        <v>44562</v>
      </c>
      <c r="C173" s="21" t="s">
        <v>101</v>
      </c>
      <c r="D173" s="21" t="s">
        <v>95</v>
      </c>
      <c r="E173" s="21" t="s">
        <v>100</v>
      </c>
      <c r="F173" s="21" t="s">
        <v>90</v>
      </c>
      <c r="G173" s="21" t="s">
        <v>76</v>
      </c>
      <c r="H173" s="21" t="s">
        <v>80</v>
      </c>
      <c r="I173" s="19">
        <v>60</v>
      </c>
      <c r="J173" s="19">
        <v>140</v>
      </c>
      <c r="K173" s="19">
        <v>27</v>
      </c>
      <c r="L173" s="19">
        <v>68</v>
      </c>
      <c r="M173" s="19">
        <v>210</v>
      </c>
      <c r="N173" s="19">
        <v>58</v>
      </c>
    </row>
    <row r="174" spans="1:14" x14ac:dyDescent="0.3">
      <c r="A174" s="10">
        <v>435</v>
      </c>
      <c r="B174" s="6">
        <v>44562</v>
      </c>
      <c r="C174" s="21" t="s">
        <v>101</v>
      </c>
      <c r="D174" s="21" t="s">
        <v>95</v>
      </c>
      <c r="E174" s="21" t="s">
        <v>100</v>
      </c>
      <c r="F174" s="21" t="s">
        <v>91</v>
      </c>
      <c r="G174" s="21" t="s">
        <v>76</v>
      </c>
      <c r="H174" s="21" t="s">
        <v>80</v>
      </c>
      <c r="I174" s="19">
        <v>10</v>
      </c>
      <c r="J174" s="19">
        <v>50</v>
      </c>
      <c r="K174" s="19">
        <v>11</v>
      </c>
      <c r="L174" s="19">
        <v>9</v>
      </c>
      <c r="M174" s="19">
        <v>82</v>
      </c>
      <c r="N174" s="19">
        <v>38</v>
      </c>
    </row>
    <row r="175" spans="1:14" x14ac:dyDescent="0.3">
      <c r="A175" s="10">
        <v>253</v>
      </c>
      <c r="B175" s="6">
        <v>44562</v>
      </c>
      <c r="C175" s="21" t="s">
        <v>101</v>
      </c>
      <c r="D175" s="21" t="s">
        <v>95</v>
      </c>
      <c r="E175" s="21" t="s">
        <v>100</v>
      </c>
      <c r="F175" s="21" t="s">
        <v>92</v>
      </c>
      <c r="G175" s="21" t="s">
        <v>76</v>
      </c>
      <c r="H175" s="21" t="s">
        <v>80</v>
      </c>
      <c r="I175" s="19">
        <v>40</v>
      </c>
      <c r="J175" s="19">
        <v>100</v>
      </c>
      <c r="K175" s="19">
        <v>19</v>
      </c>
      <c r="L175" s="19">
        <v>48</v>
      </c>
      <c r="M175" s="19">
        <v>150</v>
      </c>
      <c r="N175" s="19">
        <v>41</v>
      </c>
    </row>
    <row r="176" spans="1:14" x14ac:dyDescent="0.3">
      <c r="A176" s="10">
        <v>702</v>
      </c>
      <c r="B176" s="6">
        <v>44562</v>
      </c>
      <c r="C176" s="21" t="s">
        <v>102</v>
      </c>
      <c r="D176" s="21" t="s">
        <v>95</v>
      </c>
      <c r="E176" s="21" t="s">
        <v>100</v>
      </c>
      <c r="F176" s="21" t="s">
        <v>15</v>
      </c>
      <c r="G176" s="21" t="s">
        <v>76</v>
      </c>
      <c r="H176" s="21" t="s">
        <v>80</v>
      </c>
      <c r="I176" s="19">
        <v>-240</v>
      </c>
      <c r="J176" s="19">
        <v>0</v>
      </c>
      <c r="K176" s="19">
        <v>93</v>
      </c>
      <c r="L176" s="19">
        <v>345</v>
      </c>
      <c r="M176" s="19">
        <v>17</v>
      </c>
      <c r="N176" s="19">
        <v>126</v>
      </c>
    </row>
    <row r="177" spans="1:14" x14ac:dyDescent="0.3">
      <c r="A177" s="10">
        <v>541</v>
      </c>
      <c r="B177" s="6">
        <v>44562</v>
      </c>
      <c r="C177" s="21" t="s">
        <v>102</v>
      </c>
      <c r="D177" s="21" t="s">
        <v>95</v>
      </c>
      <c r="E177" s="21" t="s">
        <v>100</v>
      </c>
      <c r="F177" s="21" t="s">
        <v>90</v>
      </c>
      <c r="G177" s="21" t="s">
        <v>76</v>
      </c>
      <c r="H177" s="21" t="s">
        <v>80</v>
      </c>
      <c r="I177" s="19">
        <v>50</v>
      </c>
      <c r="J177" s="19">
        <v>130</v>
      </c>
      <c r="K177" s="19">
        <v>26</v>
      </c>
      <c r="L177" s="19">
        <v>67</v>
      </c>
      <c r="M177" s="19">
        <v>200</v>
      </c>
      <c r="N177" s="19">
        <v>49</v>
      </c>
    </row>
    <row r="178" spans="1:14" x14ac:dyDescent="0.3">
      <c r="A178" s="10">
        <v>435</v>
      </c>
      <c r="B178" s="6">
        <v>44562</v>
      </c>
      <c r="C178" s="21" t="s">
        <v>102</v>
      </c>
      <c r="D178" s="21" t="s">
        <v>95</v>
      </c>
      <c r="E178" s="21" t="s">
        <v>100</v>
      </c>
      <c r="F178" s="21" t="s">
        <v>91</v>
      </c>
      <c r="G178" s="21" t="s">
        <v>76</v>
      </c>
      <c r="H178" s="21" t="s">
        <v>80</v>
      </c>
      <c r="I178" s="19">
        <v>10</v>
      </c>
      <c r="J178" s="19">
        <v>40</v>
      </c>
      <c r="K178" s="19">
        <v>11</v>
      </c>
      <c r="L178" s="19">
        <v>-9</v>
      </c>
      <c r="M178" s="19">
        <v>65</v>
      </c>
      <c r="N178" s="19">
        <v>45</v>
      </c>
    </row>
    <row r="179" spans="1:14" x14ac:dyDescent="0.3">
      <c r="A179" s="10">
        <v>360</v>
      </c>
      <c r="B179" s="6">
        <v>44562</v>
      </c>
      <c r="C179" s="21" t="s">
        <v>102</v>
      </c>
      <c r="D179" s="21" t="s">
        <v>95</v>
      </c>
      <c r="E179" s="21" t="s">
        <v>100</v>
      </c>
      <c r="F179" s="21" t="s">
        <v>92</v>
      </c>
      <c r="G179" s="21" t="s">
        <v>76</v>
      </c>
      <c r="H179" s="21" t="s">
        <v>80</v>
      </c>
      <c r="I179" s="19">
        <v>20</v>
      </c>
      <c r="J179" s="19">
        <v>120</v>
      </c>
      <c r="K179" s="19">
        <v>68</v>
      </c>
      <c r="L179" s="19">
        <v>8</v>
      </c>
      <c r="M179" s="19">
        <v>180</v>
      </c>
      <c r="N179" s="19">
        <v>97</v>
      </c>
    </row>
    <row r="180" spans="1:14" x14ac:dyDescent="0.3">
      <c r="A180" s="10">
        <v>719</v>
      </c>
      <c r="B180" s="6">
        <v>44593</v>
      </c>
      <c r="C180" s="21" t="s">
        <v>64</v>
      </c>
      <c r="D180" s="21" t="s">
        <v>65</v>
      </c>
      <c r="E180" s="21" t="s">
        <v>66</v>
      </c>
      <c r="F180" s="21" t="s">
        <v>67</v>
      </c>
      <c r="G180" s="21" t="s">
        <v>68</v>
      </c>
      <c r="H180" s="21" t="s">
        <v>69</v>
      </c>
      <c r="I180" s="19">
        <v>110</v>
      </c>
      <c r="J180" s="19">
        <v>240</v>
      </c>
      <c r="K180" s="19">
        <v>26</v>
      </c>
      <c r="L180" s="19">
        <v>99</v>
      </c>
      <c r="M180" s="19">
        <v>232</v>
      </c>
      <c r="N180" s="19">
        <v>38</v>
      </c>
    </row>
    <row r="181" spans="1:14" x14ac:dyDescent="0.3">
      <c r="A181" s="10">
        <v>847</v>
      </c>
      <c r="B181" s="6">
        <v>44593</v>
      </c>
      <c r="C181" s="21" t="s">
        <v>64</v>
      </c>
      <c r="D181" s="21" t="s">
        <v>65</v>
      </c>
      <c r="E181" s="21" t="s">
        <v>66</v>
      </c>
      <c r="F181" s="21" t="s">
        <v>6</v>
      </c>
      <c r="G181" s="21" t="s">
        <v>68</v>
      </c>
      <c r="H181" s="21" t="s">
        <v>69</v>
      </c>
      <c r="I181" s="19">
        <v>100</v>
      </c>
      <c r="J181" s="19">
        <v>260</v>
      </c>
      <c r="K181" s="19">
        <v>33</v>
      </c>
      <c r="L181" s="19">
        <v>95</v>
      </c>
      <c r="M181" s="19">
        <v>254</v>
      </c>
      <c r="N181" s="19">
        <v>55</v>
      </c>
    </row>
    <row r="182" spans="1:14" x14ac:dyDescent="0.3">
      <c r="A182" s="10">
        <v>614</v>
      </c>
      <c r="B182" s="6">
        <v>44593</v>
      </c>
      <c r="C182" s="21" t="s">
        <v>64</v>
      </c>
      <c r="D182" s="21" t="s">
        <v>65</v>
      </c>
      <c r="E182" s="21" t="s">
        <v>66</v>
      </c>
      <c r="F182" s="21" t="s">
        <v>70</v>
      </c>
      <c r="G182" s="21" t="s">
        <v>68</v>
      </c>
      <c r="H182" s="21" t="s">
        <v>69</v>
      </c>
      <c r="I182" s="19">
        <v>20</v>
      </c>
      <c r="J182" s="19">
        <v>130</v>
      </c>
      <c r="K182" s="19">
        <v>49</v>
      </c>
      <c r="L182" s="19">
        <v>-3</v>
      </c>
      <c r="M182" s="19">
        <v>129</v>
      </c>
      <c r="N182" s="19">
        <v>78</v>
      </c>
    </row>
    <row r="183" spans="1:14" x14ac:dyDescent="0.3">
      <c r="A183" s="10">
        <v>305</v>
      </c>
      <c r="B183" s="6">
        <v>44593</v>
      </c>
      <c r="C183" s="21" t="s">
        <v>64</v>
      </c>
      <c r="D183" s="21" t="s">
        <v>65</v>
      </c>
      <c r="E183" s="21" t="s">
        <v>66</v>
      </c>
      <c r="F183" s="21" t="s">
        <v>71</v>
      </c>
      <c r="G183" s="21" t="s">
        <v>72</v>
      </c>
      <c r="H183" s="21" t="s">
        <v>69</v>
      </c>
      <c r="I183" s="19">
        <v>70</v>
      </c>
      <c r="J183" s="19">
        <v>190</v>
      </c>
      <c r="K183" s="19">
        <v>26</v>
      </c>
      <c r="L183" s="19">
        <v>71</v>
      </c>
      <c r="M183" s="19">
        <v>206</v>
      </c>
      <c r="N183" s="19">
        <v>49</v>
      </c>
    </row>
    <row r="184" spans="1:14" x14ac:dyDescent="0.3">
      <c r="A184" s="10">
        <v>432</v>
      </c>
      <c r="B184" s="6">
        <v>44593</v>
      </c>
      <c r="C184" s="21" t="s">
        <v>64</v>
      </c>
      <c r="D184" s="21" t="s">
        <v>65</v>
      </c>
      <c r="E184" s="21" t="s">
        <v>66</v>
      </c>
      <c r="F184" s="21" t="s">
        <v>73</v>
      </c>
      <c r="G184" s="21" t="s">
        <v>74</v>
      </c>
      <c r="H184" s="21" t="s">
        <v>69</v>
      </c>
      <c r="I184" s="19">
        <v>100</v>
      </c>
      <c r="J184" s="19">
        <v>230</v>
      </c>
      <c r="K184" s="19">
        <v>27</v>
      </c>
      <c r="L184" s="19">
        <v>68</v>
      </c>
      <c r="M184" s="19">
        <v>190</v>
      </c>
      <c r="N184" s="19">
        <v>39</v>
      </c>
    </row>
    <row r="185" spans="1:14" x14ac:dyDescent="0.3">
      <c r="A185" s="10">
        <v>818</v>
      </c>
      <c r="B185" s="6">
        <v>44593</v>
      </c>
      <c r="C185" s="21" t="s">
        <v>64</v>
      </c>
      <c r="D185" s="21" t="s">
        <v>65</v>
      </c>
      <c r="E185" s="21" t="s">
        <v>66</v>
      </c>
      <c r="F185" s="21" t="s">
        <v>75</v>
      </c>
      <c r="G185" s="21" t="s">
        <v>76</v>
      </c>
      <c r="H185" s="21" t="s">
        <v>69</v>
      </c>
      <c r="I185" s="19">
        <v>-110</v>
      </c>
      <c r="J185" s="19">
        <v>150</v>
      </c>
      <c r="K185" s="19">
        <v>48</v>
      </c>
      <c r="L185" s="19">
        <v>-117</v>
      </c>
      <c r="M185" s="19">
        <v>122</v>
      </c>
      <c r="N185" s="19">
        <v>91</v>
      </c>
    </row>
    <row r="186" spans="1:14" x14ac:dyDescent="0.3">
      <c r="A186" s="10">
        <v>303</v>
      </c>
      <c r="B186" s="6">
        <v>44593</v>
      </c>
      <c r="C186" s="21" t="s">
        <v>77</v>
      </c>
      <c r="D186" s="21" t="s">
        <v>65</v>
      </c>
      <c r="E186" s="21" t="s">
        <v>78</v>
      </c>
      <c r="F186" s="21" t="s">
        <v>67</v>
      </c>
      <c r="G186" s="21" t="s">
        <v>68</v>
      </c>
      <c r="H186" s="21" t="s">
        <v>69</v>
      </c>
      <c r="I186" s="19">
        <v>90</v>
      </c>
      <c r="J186" s="19">
        <v>220</v>
      </c>
      <c r="K186" s="19">
        <v>24</v>
      </c>
      <c r="L186" s="19">
        <v>59</v>
      </c>
      <c r="M186" s="19">
        <v>189</v>
      </c>
      <c r="N186" s="19">
        <v>55</v>
      </c>
    </row>
    <row r="187" spans="1:14" x14ac:dyDescent="0.3">
      <c r="A187" s="10">
        <v>312</v>
      </c>
      <c r="B187" s="6">
        <v>44593</v>
      </c>
      <c r="C187" s="21" t="s">
        <v>77</v>
      </c>
      <c r="D187" s="21" t="s">
        <v>65</v>
      </c>
      <c r="E187" s="21" t="s">
        <v>78</v>
      </c>
      <c r="F187" s="21" t="s">
        <v>6</v>
      </c>
      <c r="G187" s="21" t="s">
        <v>68</v>
      </c>
      <c r="H187" s="21" t="s">
        <v>69</v>
      </c>
      <c r="I187" s="19">
        <v>180</v>
      </c>
      <c r="J187" s="19">
        <v>530</v>
      </c>
      <c r="K187" s="19">
        <v>63</v>
      </c>
      <c r="L187" s="19">
        <v>142</v>
      </c>
      <c r="M187" s="19">
        <v>457</v>
      </c>
      <c r="N187" s="19">
        <v>87</v>
      </c>
    </row>
    <row r="188" spans="1:14" x14ac:dyDescent="0.3">
      <c r="A188" s="10">
        <v>614</v>
      </c>
      <c r="B188" s="6">
        <v>44593</v>
      </c>
      <c r="C188" s="21" t="s">
        <v>77</v>
      </c>
      <c r="D188" s="21" t="s">
        <v>65</v>
      </c>
      <c r="E188" s="21" t="s">
        <v>78</v>
      </c>
      <c r="F188" s="21" t="s">
        <v>70</v>
      </c>
      <c r="G188" s="21" t="s">
        <v>68</v>
      </c>
      <c r="H188" s="21" t="s">
        <v>69</v>
      </c>
      <c r="I188" s="19">
        <v>40</v>
      </c>
      <c r="J188" s="19">
        <v>150</v>
      </c>
      <c r="K188" s="19">
        <v>22</v>
      </c>
      <c r="L188" s="19">
        <v>18</v>
      </c>
      <c r="M188" s="19">
        <v>132</v>
      </c>
      <c r="N188" s="19">
        <v>55</v>
      </c>
    </row>
    <row r="189" spans="1:14" x14ac:dyDescent="0.3">
      <c r="A189" s="10">
        <v>407</v>
      </c>
      <c r="B189" s="6">
        <v>44593</v>
      </c>
      <c r="C189" s="21" t="s">
        <v>77</v>
      </c>
      <c r="D189" s="21" t="s">
        <v>65</v>
      </c>
      <c r="E189" s="21" t="s">
        <v>78</v>
      </c>
      <c r="F189" s="21" t="s">
        <v>71</v>
      </c>
      <c r="G189" s="21" t="s">
        <v>72</v>
      </c>
      <c r="H189" s="21" t="s">
        <v>69</v>
      </c>
      <c r="I189" s="19">
        <v>60</v>
      </c>
      <c r="J189" s="19">
        <v>170</v>
      </c>
      <c r="K189" s="19">
        <v>25</v>
      </c>
      <c r="L189" s="19">
        <v>51</v>
      </c>
      <c r="M189" s="19">
        <v>180</v>
      </c>
      <c r="N189" s="19">
        <v>52</v>
      </c>
    </row>
    <row r="190" spans="1:14" x14ac:dyDescent="0.3">
      <c r="A190" s="10">
        <v>956</v>
      </c>
      <c r="B190" s="6">
        <v>44593</v>
      </c>
      <c r="C190" s="21" t="s">
        <v>77</v>
      </c>
      <c r="D190" s="21" t="s">
        <v>65</v>
      </c>
      <c r="E190" s="21" t="s">
        <v>78</v>
      </c>
      <c r="F190" s="21" t="s">
        <v>73</v>
      </c>
      <c r="G190" s="21" t="s">
        <v>74</v>
      </c>
      <c r="H190" s="21" t="s">
        <v>69</v>
      </c>
      <c r="I190" s="19">
        <v>90</v>
      </c>
      <c r="J190" s="19">
        <v>160</v>
      </c>
      <c r="K190" s="19">
        <v>21</v>
      </c>
      <c r="L190" s="19">
        <v>80</v>
      </c>
      <c r="M190" s="19">
        <v>189</v>
      </c>
      <c r="N190" s="19">
        <v>32</v>
      </c>
    </row>
    <row r="191" spans="1:14" x14ac:dyDescent="0.3">
      <c r="A191" s="10">
        <v>951</v>
      </c>
      <c r="B191" s="6">
        <v>44593</v>
      </c>
      <c r="C191" s="21" t="s">
        <v>77</v>
      </c>
      <c r="D191" s="21" t="s">
        <v>65</v>
      </c>
      <c r="E191" s="21" t="s">
        <v>78</v>
      </c>
      <c r="F191" s="21" t="s">
        <v>75</v>
      </c>
      <c r="G191" s="21" t="s">
        <v>76</v>
      </c>
      <c r="H191" s="21" t="s">
        <v>69</v>
      </c>
      <c r="I191" s="19">
        <v>200</v>
      </c>
      <c r="J191" s="19">
        <v>520</v>
      </c>
      <c r="K191" s="19">
        <v>77</v>
      </c>
      <c r="L191" s="19">
        <v>202</v>
      </c>
      <c r="M191" s="19">
        <v>545</v>
      </c>
      <c r="N191" s="19">
        <v>109</v>
      </c>
    </row>
    <row r="192" spans="1:14" x14ac:dyDescent="0.3">
      <c r="A192" s="10">
        <v>303</v>
      </c>
      <c r="B192" s="6">
        <v>44593</v>
      </c>
      <c r="C192" s="21" t="s">
        <v>79</v>
      </c>
      <c r="D192" s="21" t="s">
        <v>65</v>
      </c>
      <c r="E192" s="21" t="s">
        <v>66</v>
      </c>
      <c r="F192" s="21" t="s">
        <v>67</v>
      </c>
      <c r="G192" s="21" t="s">
        <v>68</v>
      </c>
      <c r="H192" s="21" t="s">
        <v>80</v>
      </c>
      <c r="I192" s="19">
        <v>120</v>
      </c>
      <c r="J192" s="19">
        <v>250</v>
      </c>
      <c r="K192" s="19">
        <v>27</v>
      </c>
      <c r="L192" s="19">
        <v>105</v>
      </c>
      <c r="M192" s="19">
        <v>243</v>
      </c>
      <c r="N192" s="19">
        <v>39</v>
      </c>
    </row>
    <row r="193" spans="1:14" x14ac:dyDescent="0.3">
      <c r="A193" s="10">
        <v>937</v>
      </c>
      <c r="B193" s="6">
        <v>44593</v>
      </c>
      <c r="C193" s="21" t="s">
        <v>79</v>
      </c>
      <c r="D193" s="21" t="s">
        <v>65</v>
      </c>
      <c r="E193" s="21" t="s">
        <v>66</v>
      </c>
      <c r="F193" s="21" t="s">
        <v>70</v>
      </c>
      <c r="G193" s="21" t="s">
        <v>68</v>
      </c>
      <c r="H193" s="21" t="s">
        <v>80</v>
      </c>
      <c r="I193" s="19">
        <v>50</v>
      </c>
      <c r="J193" s="19">
        <v>140</v>
      </c>
      <c r="K193" s="19">
        <v>19</v>
      </c>
      <c r="L193" s="19">
        <v>33</v>
      </c>
      <c r="M193" s="19">
        <v>140</v>
      </c>
      <c r="N193" s="19">
        <v>47</v>
      </c>
    </row>
    <row r="194" spans="1:14" x14ac:dyDescent="0.3">
      <c r="A194" s="10">
        <v>720</v>
      </c>
      <c r="B194" s="6">
        <v>44593</v>
      </c>
      <c r="C194" s="21" t="s">
        <v>81</v>
      </c>
      <c r="D194" s="21" t="s">
        <v>65</v>
      </c>
      <c r="E194" s="21" t="s">
        <v>66</v>
      </c>
      <c r="F194" s="21" t="s">
        <v>67</v>
      </c>
      <c r="G194" s="21" t="s">
        <v>68</v>
      </c>
      <c r="H194" s="21" t="s">
        <v>80</v>
      </c>
      <c r="I194" s="19">
        <v>80</v>
      </c>
      <c r="J194" s="19">
        <v>190</v>
      </c>
      <c r="K194" s="19">
        <v>27</v>
      </c>
      <c r="L194" s="19">
        <v>68</v>
      </c>
      <c r="M194" s="19">
        <v>190</v>
      </c>
      <c r="N194" s="19">
        <v>39</v>
      </c>
    </row>
    <row r="195" spans="1:14" x14ac:dyDescent="0.3">
      <c r="A195" s="10">
        <v>312</v>
      </c>
      <c r="B195" s="6">
        <v>44593</v>
      </c>
      <c r="C195" s="21" t="s">
        <v>81</v>
      </c>
      <c r="D195" s="21" t="s">
        <v>65</v>
      </c>
      <c r="E195" s="21" t="s">
        <v>66</v>
      </c>
      <c r="F195" s="21" t="s">
        <v>6</v>
      </c>
      <c r="G195" s="21" t="s">
        <v>68</v>
      </c>
      <c r="H195" s="21" t="s">
        <v>80</v>
      </c>
      <c r="I195" s="19">
        <v>140</v>
      </c>
      <c r="J195" s="19">
        <v>370</v>
      </c>
      <c r="K195" s="19">
        <v>48</v>
      </c>
      <c r="L195" s="19">
        <v>115</v>
      </c>
      <c r="M195" s="19">
        <v>354</v>
      </c>
      <c r="N195" s="19">
        <v>91</v>
      </c>
    </row>
    <row r="196" spans="1:14" x14ac:dyDescent="0.3">
      <c r="A196" s="10">
        <v>513</v>
      </c>
      <c r="B196" s="6">
        <v>44593</v>
      </c>
      <c r="C196" s="21" t="s">
        <v>81</v>
      </c>
      <c r="D196" s="21" t="s">
        <v>65</v>
      </c>
      <c r="E196" s="21" t="s">
        <v>66</v>
      </c>
      <c r="F196" s="21" t="s">
        <v>70</v>
      </c>
      <c r="G196" s="21" t="s">
        <v>68</v>
      </c>
      <c r="H196" s="21" t="s">
        <v>80</v>
      </c>
      <c r="I196" s="19">
        <v>50</v>
      </c>
      <c r="J196" s="19">
        <v>130</v>
      </c>
      <c r="K196" s="19">
        <v>16</v>
      </c>
      <c r="L196" s="19">
        <v>38</v>
      </c>
      <c r="M196" s="19">
        <v>128</v>
      </c>
      <c r="N196" s="19">
        <v>38</v>
      </c>
    </row>
    <row r="197" spans="1:14" x14ac:dyDescent="0.3">
      <c r="A197" s="10">
        <v>754</v>
      </c>
      <c r="B197" s="6">
        <v>44593</v>
      </c>
      <c r="C197" s="21" t="s">
        <v>81</v>
      </c>
      <c r="D197" s="21" t="s">
        <v>65</v>
      </c>
      <c r="E197" s="21" t="s">
        <v>66</v>
      </c>
      <c r="F197" s="21" t="s">
        <v>71</v>
      </c>
      <c r="G197" s="21" t="s">
        <v>72</v>
      </c>
      <c r="H197" s="21" t="s">
        <v>80</v>
      </c>
      <c r="I197" s="19">
        <v>80</v>
      </c>
      <c r="J197" s="19">
        <v>190</v>
      </c>
      <c r="K197" s="19">
        <v>26</v>
      </c>
      <c r="L197" s="19">
        <v>63</v>
      </c>
      <c r="M197" s="19">
        <v>200</v>
      </c>
      <c r="N197" s="19">
        <v>57</v>
      </c>
    </row>
    <row r="198" spans="1:14" x14ac:dyDescent="0.3">
      <c r="A198" s="10">
        <v>774</v>
      </c>
      <c r="B198" s="6">
        <v>44593</v>
      </c>
      <c r="C198" s="21" t="s">
        <v>81</v>
      </c>
      <c r="D198" s="21" t="s">
        <v>65</v>
      </c>
      <c r="E198" s="21" t="s">
        <v>66</v>
      </c>
      <c r="F198" s="21" t="s">
        <v>82</v>
      </c>
      <c r="G198" s="21" t="s">
        <v>72</v>
      </c>
      <c r="H198" s="21" t="s">
        <v>80</v>
      </c>
      <c r="I198" s="19">
        <v>330</v>
      </c>
      <c r="J198" s="19">
        <v>440</v>
      </c>
      <c r="K198" s="19">
        <v>24</v>
      </c>
      <c r="L198" s="19">
        <v>340</v>
      </c>
      <c r="M198" s="19">
        <v>470</v>
      </c>
      <c r="N198" s="19">
        <v>55</v>
      </c>
    </row>
    <row r="199" spans="1:14" x14ac:dyDescent="0.3">
      <c r="A199" s="10">
        <v>917</v>
      </c>
      <c r="B199" s="6">
        <v>44593</v>
      </c>
      <c r="C199" s="21" t="s">
        <v>81</v>
      </c>
      <c r="D199" s="21" t="s">
        <v>65</v>
      </c>
      <c r="E199" s="21" t="s">
        <v>66</v>
      </c>
      <c r="F199" s="21" t="s">
        <v>27</v>
      </c>
      <c r="G199" s="21" t="s">
        <v>72</v>
      </c>
      <c r="H199" s="21" t="s">
        <v>80</v>
      </c>
      <c r="I199" s="19">
        <v>250</v>
      </c>
      <c r="J199" s="19">
        <v>610</v>
      </c>
      <c r="K199" s="19">
        <v>90</v>
      </c>
      <c r="L199" s="19">
        <v>245</v>
      </c>
      <c r="M199" s="19">
        <v>645</v>
      </c>
      <c r="N199" s="19">
        <v>142</v>
      </c>
    </row>
    <row r="200" spans="1:14" x14ac:dyDescent="0.3">
      <c r="A200" s="10">
        <v>972</v>
      </c>
      <c r="B200" s="6">
        <v>44593</v>
      </c>
      <c r="C200" s="21" t="s">
        <v>81</v>
      </c>
      <c r="D200" s="21" t="s">
        <v>65</v>
      </c>
      <c r="E200" s="21" t="s">
        <v>66</v>
      </c>
      <c r="F200" s="21" t="s">
        <v>73</v>
      </c>
      <c r="G200" s="21" t="s">
        <v>74</v>
      </c>
      <c r="H200" s="21" t="s">
        <v>80</v>
      </c>
      <c r="I200" s="19">
        <v>240</v>
      </c>
      <c r="J200" s="19">
        <v>580</v>
      </c>
      <c r="K200" s="19">
        <v>66</v>
      </c>
      <c r="L200" s="19">
        <v>164</v>
      </c>
      <c r="M200" s="19">
        <v>465</v>
      </c>
      <c r="N200" s="19">
        <v>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ADF1-241D-43D3-858F-8D3D43738CE7}">
  <dimension ref="A3:G30"/>
  <sheetViews>
    <sheetView workbookViewId="0">
      <selection activeCell="C18" sqref="C18"/>
    </sheetView>
  </sheetViews>
  <sheetFormatPr defaultRowHeight="14.4" x14ac:dyDescent="0.3"/>
  <cols>
    <col min="1" max="1" width="19.5546875" bestFit="1" customWidth="1"/>
    <col min="2" max="2" width="11.44140625" style="20" bestFit="1" customWidth="1"/>
    <col min="3" max="3" width="26.88671875" style="20" customWidth="1"/>
    <col min="4" max="5" width="11" style="20" bestFit="1" customWidth="1"/>
    <col min="6" max="6" width="10.77734375" style="20" bestFit="1" customWidth="1"/>
    <col min="7" max="7" width="10.77734375" bestFit="1" customWidth="1"/>
  </cols>
  <sheetData>
    <row r="3" spans="1:7" x14ac:dyDescent="0.3">
      <c r="A3" s="16" t="s">
        <v>103</v>
      </c>
      <c r="B3" t="s">
        <v>112</v>
      </c>
      <c r="C3" s="20" t="s">
        <v>113</v>
      </c>
      <c r="D3" s="20" t="s">
        <v>114</v>
      </c>
      <c r="E3" s="20" t="s">
        <v>115</v>
      </c>
      <c r="F3"/>
    </row>
    <row r="4" spans="1:7" x14ac:dyDescent="0.3">
      <c r="A4" s="17" t="s">
        <v>66</v>
      </c>
      <c r="B4" s="19"/>
      <c r="C4" s="19"/>
      <c r="D4" s="19"/>
      <c r="E4" s="19"/>
      <c r="F4"/>
    </row>
    <row r="5" spans="1:7" x14ac:dyDescent="0.3">
      <c r="A5" s="18" t="s">
        <v>79</v>
      </c>
      <c r="B5" s="19">
        <v>356</v>
      </c>
      <c r="C5" s="19">
        <v>550</v>
      </c>
      <c r="D5" s="19">
        <v>1465</v>
      </c>
      <c r="E5" s="19">
        <v>1560</v>
      </c>
      <c r="F5"/>
    </row>
    <row r="6" spans="1:7" s="15" customFormat="1" ht="15.6" x14ac:dyDescent="0.3">
      <c r="A6" s="18" t="s">
        <v>81</v>
      </c>
      <c r="B6" s="19">
        <v>2743</v>
      </c>
      <c r="C6" s="19">
        <v>3320</v>
      </c>
      <c r="D6" s="19">
        <v>7312</v>
      </c>
      <c r="E6" s="19">
        <v>7710</v>
      </c>
      <c r="F6"/>
      <c r="G6"/>
    </row>
    <row r="7" spans="1:7" x14ac:dyDescent="0.3">
      <c r="A7" s="18" t="s">
        <v>64</v>
      </c>
      <c r="B7" s="19">
        <v>741</v>
      </c>
      <c r="C7" s="19">
        <v>1100</v>
      </c>
      <c r="D7" s="19">
        <v>3739</v>
      </c>
      <c r="E7" s="19">
        <v>4050</v>
      </c>
      <c r="F7"/>
    </row>
    <row r="8" spans="1:7" x14ac:dyDescent="0.3">
      <c r="A8" s="17" t="s">
        <v>107</v>
      </c>
      <c r="B8" s="19">
        <v>3840</v>
      </c>
      <c r="C8" s="19">
        <v>4970</v>
      </c>
      <c r="D8" s="19">
        <v>12516</v>
      </c>
      <c r="E8" s="19">
        <v>13320</v>
      </c>
      <c r="F8"/>
    </row>
    <row r="9" spans="1:7" x14ac:dyDescent="0.3">
      <c r="A9" s="17"/>
      <c r="B9" s="19"/>
      <c r="C9" s="19"/>
      <c r="D9" s="19"/>
      <c r="E9" s="19"/>
      <c r="F9"/>
    </row>
    <row r="10" spans="1:7" x14ac:dyDescent="0.3">
      <c r="A10" s="17" t="s">
        <v>78</v>
      </c>
      <c r="B10" s="19"/>
      <c r="C10" s="19"/>
      <c r="D10" s="19"/>
      <c r="E10" s="19"/>
      <c r="F10"/>
    </row>
    <row r="11" spans="1:7" x14ac:dyDescent="0.3">
      <c r="A11" s="18" t="s">
        <v>85</v>
      </c>
      <c r="B11" s="19">
        <v>365</v>
      </c>
      <c r="C11" s="19">
        <v>400</v>
      </c>
      <c r="D11" s="19">
        <v>1478</v>
      </c>
      <c r="E11" s="19">
        <v>1310</v>
      </c>
      <c r="F11"/>
    </row>
    <row r="12" spans="1:7" x14ac:dyDescent="0.3">
      <c r="A12" s="18" t="s">
        <v>83</v>
      </c>
      <c r="B12" s="19">
        <v>554</v>
      </c>
      <c r="C12" s="19">
        <v>840</v>
      </c>
      <c r="D12" s="19">
        <v>3220</v>
      </c>
      <c r="E12" s="19">
        <v>3230</v>
      </c>
      <c r="F12"/>
    </row>
    <row r="13" spans="1:7" x14ac:dyDescent="0.3">
      <c r="A13" s="18" t="s">
        <v>77</v>
      </c>
      <c r="B13" s="19">
        <v>1507</v>
      </c>
      <c r="C13" s="19">
        <v>1820</v>
      </c>
      <c r="D13" s="19">
        <v>4814</v>
      </c>
      <c r="E13" s="19">
        <v>4840</v>
      </c>
      <c r="F13"/>
    </row>
    <row r="14" spans="1:7" x14ac:dyDescent="0.3">
      <c r="A14" s="18" t="s">
        <v>84</v>
      </c>
      <c r="B14" s="19">
        <v>267</v>
      </c>
      <c r="C14" s="19">
        <v>310</v>
      </c>
      <c r="D14" s="19">
        <v>896</v>
      </c>
      <c r="E14" s="19">
        <v>870</v>
      </c>
      <c r="F14"/>
    </row>
    <row r="15" spans="1:7" x14ac:dyDescent="0.3">
      <c r="A15" s="17" t="s">
        <v>108</v>
      </c>
      <c r="B15" s="19">
        <v>2693</v>
      </c>
      <c r="C15" s="19">
        <v>3370</v>
      </c>
      <c r="D15" s="19">
        <v>10408</v>
      </c>
      <c r="E15" s="19">
        <v>10250</v>
      </c>
      <c r="F15"/>
    </row>
    <row r="16" spans="1:7" x14ac:dyDescent="0.3">
      <c r="A16" s="17"/>
      <c r="B16" s="19"/>
      <c r="C16" s="19"/>
      <c r="D16" s="19"/>
      <c r="E16" s="19"/>
      <c r="F16"/>
    </row>
    <row r="17" spans="1:6" x14ac:dyDescent="0.3">
      <c r="A17" s="17" t="s">
        <v>96</v>
      </c>
      <c r="B17" s="19"/>
      <c r="C17" s="19"/>
      <c r="D17" s="19"/>
      <c r="E17" s="19"/>
      <c r="F17"/>
    </row>
    <row r="18" spans="1:6" x14ac:dyDescent="0.3">
      <c r="A18" s="18" t="s">
        <v>94</v>
      </c>
      <c r="B18" s="19">
        <v>897</v>
      </c>
      <c r="C18" s="19">
        <v>1020</v>
      </c>
      <c r="D18" s="19">
        <v>2960</v>
      </c>
      <c r="E18" s="19">
        <v>2560</v>
      </c>
      <c r="F18"/>
    </row>
    <row r="19" spans="1:6" x14ac:dyDescent="0.3">
      <c r="A19" s="18" t="s">
        <v>97</v>
      </c>
      <c r="B19" s="19">
        <v>800</v>
      </c>
      <c r="C19" s="19">
        <v>970</v>
      </c>
      <c r="D19" s="19">
        <v>3517</v>
      </c>
      <c r="E19" s="19">
        <v>2950</v>
      </c>
      <c r="F19"/>
    </row>
    <row r="20" spans="1:6" x14ac:dyDescent="0.3">
      <c r="A20" s="18" t="s">
        <v>98</v>
      </c>
      <c r="B20" s="19">
        <v>220</v>
      </c>
      <c r="C20" s="19">
        <v>280</v>
      </c>
      <c r="D20" s="19">
        <v>1397</v>
      </c>
      <c r="E20" s="19">
        <v>1140</v>
      </c>
      <c r="F20"/>
    </row>
    <row r="21" spans="1:6" x14ac:dyDescent="0.3">
      <c r="A21" s="17" t="s">
        <v>109</v>
      </c>
      <c r="B21" s="19">
        <v>1917</v>
      </c>
      <c r="C21" s="19">
        <v>2270</v>
      </c>
      <c r="D21" s="19">
        <v>7874</v>
      </c>
      <c r="E21" s="19">
        <v>6650</v>
      </c>
      <c r="F21"/>
    </row>
    <row r="22" spans="1:6" x14ac:dyDescent="0.3">
      <c r="A22" s="17"/>
      <c r="B22" s="19"/>
      <c r="C22" s="19"/>
      <c r="D22" s="19"/>
      <c r="E22" s="19"/>
      <c r="F22"/>
    </row>
    <row r="23" spans="1:6" x14ac:dyDescent="0.3">
      <c r="A23" s="17" t="s">
        <v>100</v>
      </c>
      <c r="B23" s="19"/>
      <c r="C23" s="19"/>
      <c r="D23" s="19"/>
      <c r="E23" s="19"/>
      <c r="F23"/>
    </row>
    <row r="24" spans="1:6" x14ac:dyDescent="0.3">
      <c r="A24" s="18" t="s">
        <v>99</v>
      </c>
      <c r="B24" s="19">
        <v>935</v>
      </c>
      <c r="C24" s="19">
        <v>920</v>
      </c>
      <c r="D24" s="19">
        <v>2839</v>
      </c>
      <c r="E24" s="19">
        <v>2320</v>
      </c>
      <c r="F24"/>
    </row>
    <row r="25" spans="1:6" x14ac:dyDescent="0.3">
      <c r="A25" s="18" t="s">
        <v>101</v>
      </c>
      <c r="B25" s="19">
        <v>744</v>
      </c>
      <c r="C25" s="19">
        <v>680</v>
      </c>
      <c r="D25" s="19">
        <v>2562</v>
      </c>
      <c r="E25" s="19">
        <v>2040</v>
      </c>
      <c r="F25"/>
    </row>
    <row r="26" spans="1:6" x14ac:dyDescent="0.3">
      <c r="A26" s="18" t="s">
        <v>102</v>
      </c>
      <c r="B26" s="19">
        <v>648</v>
      </c>
      <c r="C26" s="19">
        <v>130</v>
      </c>
      <c r="D26" s="19">
        <v>1250</v>
      </c>
      <c r="E26" s="19">
        <v>990</v>
      </c>
      <c r="F26"/>
    </row>
    <row r="27" spans="1:6" x14ac:dyDescent="0.3">
      <c r="A27" s="17" t="s">
        <v>110</v>
      </c>
      <c r="B27" s="19">
        <v>2327</v>
      </c>
      <c r="C27" s="19">
        <v>1730</v>
      </c>
      <c r="D27" s="19">
        <v>6651</v>
      </c>
      <c r="E27" s="19">
        <v>5350</v>
      </c>
      <c r="F27"/>
    </row>
    <row r="28" spans="1:6" x14ac:dyDescent="0.3">
      <c r="A28" s="17"/>
      <c r="B28" s="19"/>
      <c r="C28" s="19"/>
      <c r="D28" s="19"/>
      <c r="E28" s="19"/>
      <c r="F28"/>
    </row>
    <row r="29" spans="1:6" x14ac:dyDescent="0.3">
      <c r="A29" s="17" t="s">
        <v>104</v>
      </c>
      <c r="B29" s="19">
        <v>10777</v>
      </c>
      <c r="C29" s="19">
        <v>12340</v>
      </c>
      <c r="D29" s="19">
        <v>37449</v>
      </c>
      <c r="E29" s="19">
        <v>35570</v>
      </c>
      <c r="F29"/>
    </row>
    <row r="30" spans="1:6" x14ac:dyDescent="0.3">
      <c r="B30"/>
      <c r="C30"/>
      <c r="D30"/>
      <c r="E30"/>
      <c r="F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2E1DC-BF64-4F25-8B91-15013F44CE83}">
  <dimension ref="A3:E17"/>
  <sheetViews>
    <sheetView workbookViewId="0">
      <selection activeCell="C18" sqref="C18"/>
    </sheetView>
  </sheetViews>
  <sheetFormatPr defaultRowHeight="14.4" x14ac:dyDescent="0.3"/>
  <cols>
    <col min="1" max="1" width="15.5546875" bestFit="1" customWidth="1"/>
    <col min="2" max="2" width="12.109375" bestFit="1" customWidth="1"/>
    <col min="3" max="3" width="26.88671875" customWidth="1"/>
    <col min="4" max="4" width="12" bestFit="1" customWidth="1"/>
    <col min="5" max="5" width="11.6640625" bestFit="1" customWidth="1"/>
  </cols>
  <sheetData>
    <row r="3" spans="1:5" x14ac:dyDescent="0.3">
      <c r="A3" s="16" t="s">
        <v>103</v>
      </c>
      <c r="B3" t="s">
        <v>106</v>
      </c>
      <c r="C3" t="s">
        <v>117</v>
      </c>
      <c r="D3" t="s">
        <v>116</v>
      </c>
      <c r="E3" t="s">
        <v>118</v>
      </c>
    </row>
    <row r="4" spans="1:5" x14ac:dyDescent="0.3">
      <c r="A4" s="17" t="s">
        <v>79</v>
      </c>
      <c r="B4" s="19">
        <v>356</v>
      </c>
      <c r="C4" s="19">
        <v>35.6</v>
      </c>
      <c r="D4" s="19">
        <v>105</v>
      </c>
      <c r="E4" s="19">
        <v>-2</v>
      </c>
    </row>
    <row r="5" spans="1:5" x14ac:dyDescent="0.3">
      <c r="A5" s="17" t="s">
        <v>85</v>
      </c>
      <c r="B5" s="19">
        <v>365</v>
      </c>
      <c r="C5" s="19">
        <v>40.555555555555557</v>
      </c>
      <c r="D5" s="19">
        <v>140</v>
      </c>
      <c r="E5" s="19">
        <v>-8</v>
      </c>
    </row>
    <row r="6" spans="1:5" x14ac:dyDescent="0.3">
      <c r="A6" s="17" t="s">
        <v>83</v>
      </c>
      <c r="B6" s="19">
        <v>554</v>
      </c>
      <c r="C6" s="19">
        <v>27.7</v>
      </c>
      <c r="D6" s="19">
        <v>203</v>
      </c>
      <c r="E6" s="19">
        <v>-172</v>
      </c>
    </row>
    <row r="7" spans="1:5" x14ac:dyDescent="0.3">
      <c r="A7" s="17" t="s">
        <v>94</v>
      </c>
      <c r="B7" s="19">
        <v>897</v>
      </c>
      <c r="C7" s="19">
        <v>56.0625</v>
      </c>
      <c r="D7" s="19">
        <v>202</v>
      </c>
      <c r="E7" s="19">
        <v>-11</v>
      </c>
    </row>
    <row r="8" spans="1:5" x14ac:dyDescent="0.3">
      <c r="A8" s="17" t="s">
        <v>81</v>
      </c>
      <c r="B8" s="19">
        <v>2743</v>
      </c>
      <c r="C8" s="19">
        <v>101.5925925925926</v>
      </c>
      <c r="D8" s="19">
        <v>367</v>
      </c>
      <c r="E8" s="19">
        <v>-3</v>
      </c>
    </row>
    <row r="9" spans="1:5" x14ac:dyDescent="0.3">
      <c r="A9" s="17" t="s">
        <v>99</v>
      </c>
      <c r="B9" s="19">
        <v>935</v>
      </c>
      <c r="C9" s="19">
        <v>58.4375</v>
      </c>
      <c r="D9" s="19">
        <v>203</v>
      </c>
      <c r="E9" s="19">
        <v>-10</v>
      </c>
    </row>
    <row r="10" spans="1:5" x14ac:dyDescent="0.3">
      <c r="A10" s="17" t="s">
        <v>77</v>
      </c>
      <c r="B10" s="19">
        <v>1507</v>
      </c>
      <c r="C10" s="19">
        <v>65.521739130434781</v>
      </c>
      <c r="D10" s="19">
        <v>203</v>
      </c>
      <c r="E10" s="19">
        <v>9</v>
      </c>
    </row>
    <row r="11" spans="1:5" x14ac:dyDescent="0.3">
      <c r="A11" s="17" t="s">
        <v>64</v>
      </c>
      <c r="B11" s="19">
        <v>741</v>
      </c>
      <c r="C11" s="19">
        <v>32.217391304347828</v>
      </c>
      <c r="D11" s="19">
        <v>101</v>
      </c>
      <c r="E11" s="19">
        <v>-117</v>
      </c>
    </row>
    <row r="12" spans="1:5" x14ac:dyDescent="0.3">
      <c r="A12" s="17" t="s">
        <v>101</v>
      </c>
      <c r="B12" s="19">
        <v>744</v>
      </c>
      <c r="C12" s="19">
        <v>62</v>
      </c>
      <c r="D12" s="19">
        <v>175</v>
      </c>
      <c r="E12" s="19">
        <v>-9</v>
      </c>
    </row>
    <row r="13" spans="1:5" x14ac:dyDescent="0.3">
      <c r="A13" s="17" t="s">
        <v>102</v>
      </c>
      <c r="B13" s="19">
        <v>648</v>
      </c>
      <c r="C13" s="19">
        <v>54</v>
      </c>
      <c r="D13" s="19">
        <v>345</v>
      </c>
      <c r="E13" s="19">
        <v>-9</v>
      </c>
    </row>
    <row r="14" spans="1:5" x14ac:dyDescent="0.3">
      <c r="A14" s="17" t="s">
        <v>97</v>
      </c>
      <c r="B14" s="19">
        <v>800</v>
      </c>
      <c r="C14" s="19">
        <v>40</v>
      </c>
      <c r="D14" s="19">
        <v>160</v>
      </c>
      <c r="E14" s="19">
        <v>-39</v>
      </c>
    </row>
    <row r="15" spans="1:5" x14ac:dyDescent="0.3">
      <c r="A15" s="17" t="s">
        <v>98</v>
      </c>
      <c r="B15" s="19">
        <v>220</v>
      </c>
      <c r="C15" s="19">
        <v>27.5</v>
      </c>
      <c r="D15" s="19">
        <v>101</v>
      </c>
      <c r="E15" s="19">
        <v>-113</v>
      </c>
    </row>
    <row r="16" spans="1:5" x14ac:dyDescent="0.3">
      <c r="A16" s="17" t="s">
        <v>84</v>
      </c>
      <c r="B16" s="19">
        <v>267</v>
      </c>
      <c r="C16" s="19">
        <v>89</v>
      </c>
      <c r="D16" s="19">
        <v>175</v>
      </c>
      <c r="E16" s="19">
        <v>-8</v>
      </c>
    </row>
    <row r="17" spans="1:5" x14ac:dyDescent="0.3">
      <c r="A17" s="17" t="s">
        <v>104</v>
      </c>
      <c r="B17" s="19">
        <v>10777</v>
      </c>
      <c r="C17" s="19">
        <v>54.155778894472363</v>
      </c>
      <c r="D17" s="19">
        <v>367</v>
      </c>
      <c r="E17" s="19">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6C66-93ED-48E7-B81C-091CEC6F1B1C}">
  <dimension ref="A3:B7"/>
  <sheetViews>
    <sheetView workbookViewId="0">
      <selection activeCell="C18" sqref="C18"/>
    </sheetView>
  </sheetViews>
  <sheetFormatPr defaultRowHeight="14.4" x14ac:dyDescent="0.3"/>
  <cols>
    <col min="1" max="1" width="12.5546875" bestFit="1" customWidth="1"/>
    <col min="2" max="2" width="12.109375" bestFit="1" customWidth="1"/>
    <col min="3" max="3" width="26.88671875" customWidth="1"/>
  </cols>
  <sheetData>
    <row r="3" spans="1:2" x14ac:dyDescent="0.3">
      <c r="A3" s="16" t="s">
        <v>103</v>
      </c>
      <c r="B3" t="s">
        <v>106</v>
      </c>
    </row>
    <row r="4" spans="1:2" x14ac:dyDescent="0.3">
      <c r="A4" s="17" t="s">
        <v>121</v>
      </c>
    </row>
    <row r="5" spans="1:2" x14ac:dyDescent="0.3">
      <c r="A5" s="17" t="s">
        <v>119</v>
      </c>
      <c r="B5">
        <v>8841</v>
      </c>
    </row>
    <row r="6" spans="1:2" x14ac:dyDescent="0.3">
      <c r="A6" s="17" t="s">
        <v>120</v>
      </c>
      <c r="B6">
        <v>1936</v>
      </c>
    </row>
    <row r="7" spans="1:2" x14ac:dyDescent="0.3">
      <c r="A7" s="17" t="s">
        <v>104</v>
      </c>
      <c r="B7">
        <v>10777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01B13-FAD4-4CC3-9C67-21A239B2E2F6}">
  <dimension ref="A3:E20"/>
  <sheetViews>
    <sheetView workbookViewId="0">
      <selection activeCell="C18" sqref="C18"/>
    </sheetView>
  </sheetViews>
  <sheetFormatPr defaultRowHeight="18" x14ac:dyDescent="0.35"/>
  <cols>
    <col min="1" max="1" width="19.33203125" style="1" bestFit="1" customWidth="1"/>
    <col min="2" max="2" width="12.77734375" style="1" bestFit="1" customWidth="1"/>
    <col min="3" max="3" width="26.88671875" style="1" customWidth="1"/>
    <col min="4" max="4" width="29.109375" style="1" bestFit="1" customWidth="1"/>
    <col min="5" max="5" width="21.109375" style="1" bestFit="1" customWidth="1"/>
    <col min="6" max="16384" width="8.88671875" style="1"/>
  </cols>
  <sheetData>
    <row r="3" spans="1:5" x14ac:dyDescent="0.35">
      <c r="A3" s="23" t="s">
        <v>103</v>
      </c>
      <c r="B3" s="1" t="s">
        <v>125</v>
      </c>
      <c r="C3" s="1" t="s">
        <v>126</v>
      </c>
      <c r="D3" s="1" t="s">
        <v>127</v>
      </c>
      <c r="E3" s="25" t="s">
        <v>128</v>
      </c>
    </row>
    <row r="4" spans="1:5" x14ac:dyDescent="0.35">
      <c r="A4" s="24" t="s">
        <v>79</v>
      </c>
      <c r="B4" s="14">
        <v>356</v>
      </c>
      <c r="C4" s="14">
        <v>550</v>
      </c>
      <c r="D4" s="14">
        <v>-194</v>
      </c>
      <c r="E4" s="25">
        <v>-0.5449438202247191</v>
      </c>
    </row>
    <row r="5" spans="1:5" x14ac:dyDescent="0.35">
      <c r="A5" s="24" t="s">
        <v>85</v>
      </c>
      <c r="B5" s="14">
        <v>365</v>
      </c>
      <c r="C5" s="14">
        <v>400</v>
      </c>
      <c r="D5" s="14">
        <v>-35</v>
      </c>
      <c r="E5" s="25">
        <v>-9.5890410958904104E-2</v>
      </c>
    </row>
    <row r="6" spans="1:5" x14ac:dyDescent="0.35">
      <c r="A6" s="24" t="s">
        <v>83</v>
      </c>
      <c r="B6" s="14">
        <v>554</v>
      </c>
      <c r="C6" s="14">
        <v>840</v>
      </c>
      <c r="D6" s="14">
        <v>-286</v>
      </c>
      <c r="E6" s="25">
        <v>-0.51624548736462095</v>
      </c>
    </row>
    <row r="7" spans="1:5" x14ac:dyDescent="0.35">
      <c r="A7" s="24" t="s">
        <v>94</v>
      </c>
      <c r="B7" s="14">
        <v>897</v>
      </c>
      <c r="C7" s="14">
        <v>1020</v>
      </c>
      <c r="D7" s="14">
        <v>-123</v>
      </c>
      <c r="E7" s="25">
        <v>-0.13712374581939799</v>
      </c>
    </row>
    <row r="8" spans="1:5" x14ac:dyDescent="0.35">
      <c r="A8" s="24" t="s">
        <v>81</v>
      </c>
      <c r="B8" s="14">
        <v>2743</v>
      </c>
      <c r="C8" s="14">
        <v>3320</v>
      </c>
      <c r="D8" s="14">
        <v>-577</v>
      </c>
      <c r="E8" s="25">
        <v>-0.2103536274152388</v>
      </c>
    </row>
    <row r="9" spans="1:5" x14ac:dyDescent="0.35">
      <c r="A9" s="24" t="s">
        <v>99</v>
      </c>
      <c r="B9" s="14">
        <v>935</v>
      </c>
      <c r="C9" s="14">
        <v>920</v>
      </c>
      <c r="D9" s="14">
        <v>15</v>
      </c>
      <c r="E9" s="25">
        <v>1.6042780748663103E-2</v>
      </c>
    </row>
    <row r="10" spans="1:5" x14ac:dyDescent="0.35">
      <c r="A10" s="24" t="s">
        <v>77</v>
      </c>
      <c r="B10" s="14">
        <v>1507</v>
      </c>
      <c r="C10" s="14">
        <v>1820</v>
      </c>
      <c r="D10" s="14">
        <v>-313</v>
      </c>
      <c r="E10" s="25">
        <v>-0.20769741207697412</v>
      </c>
    </row>
    <row r="11" spans="1:5" x14ac:dyDescent="0.35">
      <c r="A11" s="24" t="s">
        <v>64</v>
      </c>
      <c r="B11" s="14">
        <v>741</v>
      </c>
      <c r="C11" s="14">
        <v>1100</v>
      </c>
      <c r="D11" s="14">
        <v>-359</v>
      </c>
      <c r="E11" s="25">
        <v>-0.48448043184885292</v>
      </c>
    </row>
    <row r="12" spans="1:5" x14ac:dyDescent="0.35">
      <c r="A12" s="24" t="s">
        <v>101</v>
      </c>
      <c r="B12" s="14">
        <v>744</v>
      </c>
      <c r="C12" s="14">
        <v>680</v>
      </c>
      <c r="D12" s="14">
        <v>64</v>
      </c>
      <c r="E12" s="25">
        <v>8.6021505376344093E-2</v>
      </c>
    </row>
    <row r="13" spans="1:5" x14ac:dyDescent="0.35">
      <c r="A13" s="24" t="s">
        <v>102</v>
      </c>
      <c r="B13" s="14">
        <v>648</v>
      </c>
      <c r="C13" s="14">
        <v>130</v>
      </c>
      <c r="D13" s="14">
        <v>518</v>
      </c>
      <c r="E13" s="25">
        <v>0.79938271604938271</v>
      </c>
    </row>
    <row r="14" spans="1:5" x14ac:dyDescent="0.35">
      <c r="A14" s="24" t="s">
        <v>97</v>
      </c>
      <c r="B14" s="14">
        <v>800</v>
      </c>
      <c r="C14" s="14">
        <v>970</v>
      </c>
      <c r="D14" s="14">
        <v>-170</v>
      </c>
      <c r="E14" s="25">
        <v>-0.21249999999999999</v>
      </c>
    </row>
    <row r="15" spans="1:5" x14ac:dyDescent="0.35">
      <c r="A15" s="24" t="s">
        <v>98</v>
      </c>
      <c r="B15" s="14">
        <v>220</v>
      </c>
      <c r="C15" s="14">
        <v>280</v>
      </c>
      <c r="D15" s="14">
        <v>-60</v>
      </c>
      <c r="E15" s="25">
        <v>-0.27272727272727271</v>
      </c>
    </row>
    <row r="16" spans="1:5" x14ac:dyDescent="0.35">
      <c r="A16" s="24" t="s">
        <v>84</v>
      </c>
      <c r="B16" s="14">
        <v>267</v>
      </c>
      <c r="C16" s="14">
        <v>310</v>
      </c>
      <c r="D16" s="14">
        <v>-43</v>
      </c>
      <c r="E16" s="25">
        <v>-0.16104868913857678</v>
      </c>
    </row>
    <row r="17" spans="1:5" x14ac:dyDescent="0.35">
      <c r="A17" s="24" t="s">
        <v>104</v>
      </c>
      <c r="B17" s="14">
        <v>10777</v>
      </c>
      <c r="C17" s="14">
        <v>12340</v>
      </c>
      <c r="D17" s="14">
        <v>-1563</v>
      </c>
      <c r="E17" s="25">
        <v>-0.14503108471745382</v>
      </c>
    </row>
    <row r="18" spans="1:5" x14ac:dyDescent="0.35">
      <c r="A18"/>
      <c r="B18"/>
      <c r="C18"/>
    </row>
    <row r="19" spans="1:5" x14ac:dyDescent="0.35">
      <c r="A19"/>
      <c r="B19"/>
      <c r="C19"/>
    </row>
    <row r="20" spans="1:5" x14ac:dyDescent="0.35">
      <c r="A20"/>
      <c r="B20"/>
      <c r="C20"/>
    </row>
  </sheetData>
  <conditionalFormatting pivot="1" sqref="D4:D17">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251CC-D335-4BC2-B0C9-9ACB2699BEA9}">
  <dimension ref="A3:F9"/>
  <sheetViews>
    <sheetView workbookViewId="0">
      <selection activeCell="B5" sqref="B5"/>
    </sheetView>
  </sheetViews>
  <sheetFormatPr defaultRowHeight="14.4" x14ac:dyDescent="0.3"/>
  <cols>
    <col min="1" max="1" width="12.5546875" bestFit="1" customWidth="1"/>
    <col min="2" max="2" width="15.5546875" bestFit="1" customWidth="1"/>
    <col min="3" max="5" width="8.33203125" bestFit="1" customWidth="1"/>
    <col min="6" max="6" width="10.77734375" bestFit="1" customWidth="1"/>
  </cols>
  <sheetData>
    <row r="3" spans="1:6" x14ac:dyDescent="0.3">
      <c r="A3" s="16" t="s">
        <v>111</v>
      </c>
      <c r="B3" s="16" t="s">
        <v>105</v>
      </c>
    </row>
    <row r="4" spans="1:6" x14ac:dyDescent="0.3">
      <c r="A4" s="16" t="s">
        <v>103</v>
      </c>
      <c r="B4" t="s">
        <v>68</v>
      </c>
      <c r="C4" t="s">
        <v>72</v>
      </c>
      <c r="D4" t="s">
        <v>74</v>
      </c>
      <c r="E4" t="s">
        <v>76</v>
      </c>
      <c r="F4" t="s">
        <v>104</v>
      </c>
    </row>
    <row r="5" spans="1:6" x14ac:dyDescent="0.3">
      <c r="A5" s="17" t="s">
        <v>66</v>
      </c>
      <c r="B5" s="19"/>
      <c r="C5" s="19">
        <v>-941</v>
      </c>
      <c r="D5" s="19">
        <v>-2705</v>
      </c>
      <c r="E5" s="19">
        <v>-2106</v>
      </c>
      <c r="F5" s="19"/>
    </row>
    <row r="6" spans="1:6" x14ac:dyDescent="0.3">
      <c r="A6" s="17" t="s">
        <v>78</v>
      </c>
      <c r="B6" s="19"/>
      <c r="C6" s="19">
        <v>-1115</v>
      </c>
      <c r="D6" s="19">
        <v>-1189</v>
      </c>
      <c r="E6" s="19">
        <v>120</v>
      </c>
      <c r="F6" s="19"/>
    </row>
    <row r="7" spans="1:6" x14ac:dyDescent="0.3">
      <c r="A7" s="17" t="s">
        <v>96</v>
      </c>
      <c r="B7" s="19"/>
      <c r="C7" s="19">
        <v>-1055</v>
      </c>
      <c r="D7" s="19">
        <v>-1665</v>
      </c>
      <c r="E7" s="19">
        <v>-62</v>
      </c>
      <c r="F7" s="19"/>
    </row>
    <row r="8" spans="1:6" x14ac:dyDescent="0.3">
      <c r="A8" s="17" t="s">
        <v>100</v>
      </c>
      <c r="B8" s="19"/>
      <c r="C8" s="19">
        <v>-1436</v>
      </c>
      <c r="D8" s="19">
        <v>-2649</v>
      </c>
      <c r="E8" s="19">
        <v>140</v>
      </c>
      <c r="F8" s="19"/>
    </row>
    <row r="9" spans="1:6" x14ac:dyDescent="0.3">
      <c r="A9" s="17" t="s">
        <v>104</v>
      </c>
      <c r="B9" s="19"/>
      <c r="C9" s="19">
        <v>-4547</v>
      </c>
      <c r="D9" s="19">
        <v>-8208</v>
      </c>
      <c r="E9" s="19">
        <v>-1908</v>
      </c>
      <c r="F9"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B5C4-0C73-4704-A285-FD88E7CC9D27}">
  <dimension ref="A3:C10"/>
  <sheetViews>
    <sheetView workbookViewId="0">
      <selection activeCell="J16" sqref="J16"/>
    </sheetView>
  </sheetViews>
  <sheetFormatPr defaultRowHeight="14.4" x14ac:dyDescent="0.3"/>
  <cols>
    <col min="1" max="1" width="12.6640625" bestFit="1" customWidth="1"/>
    <col min="2" max="2" width="15.5546875" bestFit="1" customWidth="1"/>
    <col min="3" max="3" width="7.5546875" bestFit="1" customWidth="1"/>
    <col min="4" max="4" width="10.77734375" bestFit="1" customWidth="1"/>
  </cols>
  <sheetData>
    <row r="3" spans="1:3" x14ac:dyDescent="0.3">
      <c r="A3" s="16" t="s">
        <v>129</v>
      </c>
      <c r="B3" s="16" t="s">
        <v>105</v>
      </c>
    </row>
    <row r="4" spans="1:3" x14ac:dyDescent="0.3">
      <c r="B4" t="s">
        <v>119</v>
      </c>
      <c r="C4" t="s">
        <v>120</v>
      </c>
    </row>
    <row r="6" spans="1:3" x14ac:dyDescent="0.3">
      <c r="A6" s="16" t="s">
        <v>103</v>
      </c>
    </row>
    <row r="7" spans="1:3" x14ac:dyDescent="0.3">
      <c r="A7" s="17" t="s">
        <v>66</v>
      </c>
      <c r="B7" s="19">
        <v>8548</v>
      </c>
      <c r="C7" s="19">
        <v>3968</v>
      </c>
    </row>
    <row r="8" spans="1:3" x14ac:dyDescent="0.3">
      <c r="A8" s="17" t="s">
        <v>78</v>
      </c>
      <c r="B8" s="19">
        <v>17264</v>
      </c>
      <c r="C8" s="19">
        <v>5660</v>
      </c>
    </row>
    <row r="9" spans="1:3" x14ac:dyDescent="0.3">
      <c r="A9" s="17" t="s">
        <v>96</v>
      </c>
      <c r="B9" s="19">
        <v>25138</v>
      </c>
      <c r="C9" s="19">
        <v>5660</v>
      </c>
    </row>
    <row r="10" spans="1:3" x14ac:dyDescent="0.3">
      <c r="A10" s="17" t="s">
        <v>100</v>
      </c>
      <c r="B10" s="19">
        <v>31789</v>
      </c>
      <c r="C10" s="19">
        <v>5660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3DFF-E91F-40CD-A8D6-C7E02CB1149A}">
  <dimension ref="A3:C8"/>
  <sheetViews>
    <sheetView workbookViewId="0">
      <selection activeCell="C7" sqref="C7"/>
    </sheetView>
  </sheetViews>
  <sheetFormatPr defaultRowHeight="14.4" x14ac:dyDescent="0.3"/>
  <cols>
    <col min="1" max="1" width="12.5546875" bestFit="1" customWidth="1"/>
    <col min="2" max="2" width="15.5546875" bestFit="1" customWidth="1"/>
    <col min="3" max="3" width="12.6640625" bestFit="1" customWidth="1"/>
  </cols>
  <sheetData>
    <row r="3" spans="1:3" x14ac:dyDescent="0.3">
      <c r="B3" s="16" t="s">
        <v>105</v>
      </c>
    </row>
    <row r="4" spans="1:3" x14ac:dyDescent="0.3">
      <c r="B4" t="s">
        <v>131</v>
      </c>
    </row>
    <row r="5" spans="1:3" x14ac:dyDescent="0.3">
      <c r="A5" s="16" t="s">
        <v>103</v>
      </c>
      <c r="B5" t="s">
        <v>111</v>
      </c>
      <c r="C5" t="s">
        <v>132</v>
      </c>
    </row>
    <row r="6" spans="1:3" x14ac:dyDescent="0.3">
      <c r="A6" s="17" t="s">
        <v>130</v>
      </c>
      <c r="B6" s="19"/>
    </row>
    <row r="7" spans="1:3" x14ac:dyDescent="0.3">
      <c r="A7" s="18" t="s">
        <v>119</v>
      </c>
      <c r="B7" s="19"/>
      <c r="C7">
        <v>2</v>
      </c>
    </row>
    <row r="8" spans="1:3" x14ac:dyDescent="0.3">
      <c r="A8" s="18" t="s">
        <v>120</v>
      </c>
      <c r="B8" s="19">
        <v>-26129</v>
      </c>
      <c r="C8">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50F0-F830-4DF6-A02A-1D30193D2EB9}">
  <dimension ref="A3:C55"/>
  <sheetViews>
    <sheetView topLeftCell="A2" workbookViewId="0">
      <selection activeCell="B5" sqref="B5"/>
    </sheetView>
  </sheetViews>
  <sheetFormatPr defaultRowHeight="14.4" x14ac:dyDescent="0.3"/>
  <cols>
    <col min="1" max="1" width="19.5546875" bestFit="1" customWidth="1"/>
    <col min="2" max="2" width="15.5546875" bestFit="1" customWidth="1"/>
    <col min="3" max="4" width="10.77734375" bestFit="1" customWidth="1"/>
  </cols>
  <sheetData>
    <row r="3" spans="1:3" x14ac:dyDescent="0.3">
      <c r="A3" s="16" t="s">
        <v>111</v>
      </c>
      <c r="B3" s="16" t="s">
        <v>105</v>
      </c>
    </row>
    <row r="4" spans="1:3" x14ac:dyDescent="0.3">
      <c r="B4" t="s">
        <v>130</v>
      </c>
      <c r="C4" t="s">
        <v>104</v>
      </c>
    </row>
    <row r="8" spans="1:3" x14ac:dyDescent="0.3">
      <c r="A8" s="16" t="s">
        <v>103</v>
      </c>
    </row>
    <row r="9" spans="1:3" x14ac:dyDescent="0.3">
      <c r="A9" s="17" t="s">
        <v>68</v>
      </c>
      <c r="B9" s="19">
        <v>13028</v>
      </c>
      <c r="C9" s="19">
        <v>13028</v>
      </c>
    </row>
    <row r="10" spans="1:3" x14ac:dyDescent="0.3">
      <c r="A10" s="18" t="s">
        <v>79</v>
      </c>
      <c r="B10" s="19">
        <v>907</v>
      </c>
      <c r="C10" s="19">
        <v>907</v>
      </c>
    </row>
    <row r="11" spans="1:3" x14ac:dyDescent="0.3">
      <c r="A11" s="18" t="s">
        <v>83</v>
      </c>
      <c r="B11" s="19">
        <v>1337</v>
      </c>
      <c r="C11" s="19">
        <v>1337</v>
      </c>
    </row>
    <row r="12" spans="1:3" x14ac:dyDescent="0.3">
      <c r="A12" s="18" t="s">
        <v>94</v>
      </c>
      <c r="B12" s="19">
        <v>1456</v>
      </c>
      <c r="C12" s="19">
        <v>1456</v>
      </c>
    </row>
    <row r="13" spans="1:3" x14ac:dyDescent="0.3">
      <c r="A13" s="18" t="s">
        <v>81</v>
      </c>
      <c r="B13" s="19">
        <v>1789</v>
      </c>
      <c r="C13" s="19">
        <v>1789</v>
      </c>
    </row>
    <row r="14" spans="1:3" x14ac:dyDescent="0.3">
      <c r="A14" s="18" t="s">
        <v>99</v>
      </c>
      <c r="B14" s="19">
        <v>1162</v>
      </c>
      <c r="C14" s="19">
        <v>1162</v>
      </c>
    </row>
    <row r="15" spans="1:3" x14ac:dyDescent="0.3">
      <c r="A15" s="18" t="s">
        <v>77</v>
      </c>
      <c r="B15" s="19">
        <v>1811</v>
      </c>
      <c r="C15" s="19">
        <v>1811</v>
      </c>
    </row>
    <row r="16" spans="1:3" x14ac:dyDescent="0.3">
      <c r="A16" s="18" t="s">
        <v>64</v>
      </c>
      <c r="B16" s="19">
        <v>1871</v>
      </c>
      <c r="C16" s="19">
        <v>1871</v>
      </c>
    </row>
    <row r="17" spans="1:3" x14ac:dyDescent="0.3">
      <c r="A17" s="18" t="s">
        <v>101</v>
      </c>
      <c r="B17" s="19">
        <v>1311</v>
      </c>
      <c r="C17" s="19">
        <v>1311</v>
      </c>
    </row>
    <row r="18" spans="1:3" x14ac:dyDescent="0.3">
      <c r="A18" s="18" t="s">
        <v>102</v>
      </c>
      <c r="B18" s="19">
        <v>176</v>
      </c>
      <c r="C18" s="19">
        <v>176</v>
      </c>
    </row>
    <row r="19" spans="1:3" x14ac:dyDescent="0.3">
      <c r="A19" s="18" t="s">
        <v>97</v>
      </c>
      <c r="B19" s="19">
        <v>834</v>
      </c>
      <c r="C19" s="19">
        <v>834</v>
      </c>
    </row>
    <row r="20" spans="1:3" x14ac:dyDescent="0.3">
      <c r="A20" s="18" t="s">
        <v>98</v>
      </c>
      <c r="B20" s="19">
        <v>374</v>
      </c>
      <c r="C20" s="19">
        <v>374</v>
      </c>
    </row>
    <row r="21" spans="1:3" x14ac:dyDescent="0.3">
      <c r="A21" s="17" t="s">
        <v>72</v>
      </c>
      <c r="B21" s="19">
        <v>8481</v>
      </c>
      <c r="C21" s="19">
        <v>8481</v>
      </c>
    </row>
    <row r="22" spans="1:3" x14ac:dyDescent="0.3">
      <c r="A22" s="18" t="s">
        <v>79</v>
      </c>
      <c r="B22" s="19">
        <v>93</v>
      </c>
      <c r="C22" s="19">
        <v>93</v>
      </c>
    </row>
    <row r="23" spans="1:3" x14ac:dyDescent="0.3">
      <c r="A23" s="18" t="s">
        <v>83</v>
      </c>
      <c r="B23" s="19">
        <v>647</v>
      </c>
      <c r="C23" s="19">
        <v>647</v>
      </c>
    </row>
    <row r="24" spans="1:3" x14ac:dyDescent="0.3">
      <c r="A24" s="18" t="s">
        <v>94</v>
      </c>
      <c r="B24" s="19">
        <v>110</v>
      </c>
      <c r="C24" s="19">
        <v>110</v>
      </c>
    </row>
    <row r="25" spans="1:3" x14ac:dyDescent="0.3">
      <c r="A25" s="18" t="s">
        <v>81</v>
      </c>
      <c r="B25" s="19">
        <v>3127</v>
      </c>
      <c r="C25" s="19">
        <v>3127</v>
      </c>
    </row>
    <row r="26" spans="1:3" x14ac:dyDescent="0.3">
      <c r="A26" s="18" t="s">
        <v>99</v>
      </c>
      <c r="B26" s="19">
        <v>562</v>
      </c>
      <c r="C26" s="19">
        <v>562</v>
      </c>
    </row>
    <row r="27" spans="1:3" x14ac:dyDescent="0.3">
      <c r="A27" s="18" t="s">
        <v>77</v>
      </c>
      <c r="B27" s="19">
        <v>490</v>
      </c>
      <c r="C27" s="19">
        <v>490</v>
      </c>
    </row>
    <row r="28" spans="1:3" x14ac:dyDescent="0.3">
      <c r="A28" s="18" t="s">
        <v>64</v>
      </c>
      <c r="B28" s="19">
        <v>406</v>
      </c>
      <c r="C28" s="19">
        <v>406</v>
      </c>
    </row>
    <row r="29" spans="1:3" x14ac:dyDescent="0.3">
      <c r="A29" s="18" t="s">
        <v>101</v>
      </c>
      <c r="B29" s="19">
        <v>219</v>
      </c>
      <c r="C29" s="19">
        <v>219</v>
      </c>
    </row>
    <row r="30" spans="1:3" x14ac:dyDescent="0.3">
      <c r="A30" s="18" t="s">
        <v>102</v>
      </c>
      <c r="B30" s="19">
        <v>432</v>
      </c>
      <c r="C30" s="19">
        <v>432</v>
      </c>
    </row>
    <row r="31" spans="1:3" x14ac:dyDescent="0.3">
      <c r="A31" s="18" t="s">
        <v>97</v>
      </c>
      <c r="B31" s="19">
        <v>999</v>
      </c>
      <c r="C31" s="19">
        <v>999</v>
      </c>
    </row>
    <row r="32" spans="1:3" x14ac:dyDescent="0.3">
      <c r="A32" s="18" t="s">
        <v>98</v>
      </c>
      <c r="B32" s="19">
        <v>500</v>
      </c>
      <c r="C32" s="19">
        <v>500</v>
      </c>
    </row>
    <row r="33" spans="1:3" x14ac:dyDescent="0.3">
      <c r="A33" s="18" t="s">
        <v>84</v>
      </c>
      <c r="B33" s="19">
        <v>896</v>
      </c>
      <c r="C33" s="19">
        <v>896</v>
      </c>
    </row>
    <row r="34" spans="1:3" x14ac:dyDescent="0.3">
      <c r="A34" s="17" t="s">
        <v>74</v>
      </c>
      <c r="B34" s="19">
        <v>4820</v>
      </c>
      <c r="C34" s="19">
        <v>4820</v>
      </c>
    </row>
    <row r="35" spans="1:3" x14ac:dyDescent="0.3">
      <c r="A35" s="18" t="s">
        <v>85</v>
      </c>
      <c r="B35" s="19">
        <v>625</v>
      </c>
      <c r="C35" s="19">
        <v>625</v>
      </c>
    </row>
    <row r="36" spans="1:3" x14ac:dyDescent="0.3">
      <c r="A36" s="18" t="s">
        <v>83</v>
      </c>
      <c r="B36" s="19">
        <v>569</v>
      </c>
      <c r="C36" s="19">
        <v>569</v>
      </c>
    </row>
    <row r="37" spans="1:3" x14ac:dyDescent="0.3">
      <c r="A37" s="18" t="s">
        <v>94</v>
      </c>
      <c r="B37" s="19">
        <v>417</v>
      </c>
      <c r="C37" s="19">
        <v>417</v>
      </c>
    </row>
    <row r="38" spans="1:3" x14ac:dyDescent="0.3">
      <c r="A38" s="18" t="s">
        <v>81</v>
      </c>
      <c r="B38" s="19">
        <v>1222</v>
      </c>
      <c r="C38" s="19">
        <v>1222</v>
      </c>
    </row>
    <row r="39" spans="1:3" x14ac:dyDescent="0.3">
      <c r="A39" s="18" t="s">
        <v>77</v>
      </c>
      <c r="B39" s="19">
        <v>765</v>
      </c>
      <c r="C39" s="19">
        <v>765</v>
      </c>
    </row>
    <row r="40" spans="1:3" x14ac:dyDescent="0.3">
      <c r="A40" s="18" t="s">
        <v>64</v>
      </c>
      <c r="B40" s="19">
        <v>640</v>
      </c>
      <c r="C40" s="19">
        <v>640</v>
      </c>
    </row>
    <row r="41" spans="1:3" x14ac:dyDescent="0.3">
      <c r="A41" s="18" t="s">
        <v>97</v>
      </c>
      <c r="B41" s="19">
        <v>582</v>
      </c>
      <c r="C41" s="19">
        <v>582</v>
      </c>
    </row>
    <row r="42" spans="1:3" x14ac:dyDescent="0.3">
      <c r="A42" s="17" t="s">
        <v>76</v>
      </c>
      <c r="B42" s="19">
        <v>11120</v>
      </c>
      <c r="C42" s="19">
        <v>11120</v>
      </c>
    </row>
    <row r="43" spans="1:3" x14ac:dyDescent="0.3">
      <c r="A43" s="18" t="s">
        <v>79</v>
      </c>
      <c r="B43" s="19">
        <v>465</v>
      </c>
      <c r="C43" s="19">
        <v>465</v>
      </c>
    </row>
    <row r="44" spans="1:3" x14ac:dyDescent="0.3">
      <c r="A44" s="18" t="s">
        <v>85</v>
      </c>
      <c r="B44" s="19">
        <v>853</v>
      </c>
      <c r="C44" s="19">
        <v>853</v>
      </c>
    </row>
    <row r="45" spans="1:3" x14ac:dyDescent="0.3">
      <c r="A45" s="18" t="s">
        <v>83</v>
      </c>
      <c r="B45" s="19">
        <v>667</v>
      </c>
      <c r="C45" s="19">
        <v>667</v>
      </c>
    </row>
    <row r="46" spans="1:3" x14ac:dyDescent="0.3">
      <c r="A46" s="18" t="s">
        <v>94</v>
      </c>
      <c r="B46" s="19">
        <v>977</v>
      </c>
      <c r="C46" s="19">
        <v>977</v>
      </c>
    </row>
    <row r="47" spans="1:3" x14ac:dyDescent="0.3">
      <c r="A47" s="18" t="s">
        <v>81</v>
      </c>
      <c r="B47" s="19">
        <v>1174</v>
      </c>
      <c r="C47" s="19">
        <v>1174</v>
      </c>
    </row>
    <row r="48" spans="1:3" x14ac:dyDescent="0.3">
      <c r="A48" s="18" t="s">
        <v>99</v>
      </c>
      <c r="B48" s="19">
        <v>1115</v>
      </c>
      <c r="C48" s="19">
        <v>1115</v>
      </c>
    </row>
    <row r="49" spans="1:3" x14ac:dyDescent="0.3">
      <c r="A49" s="18" t="s">
        <v>77</v>
      </c>
      <c r="B49" s="19">
        <v>1748</v>
      </c>
      <c r="C49" s="19">
        <v>1748</v>
      </c>
    </row>
    <row r="50" spans="1:3" x14ac:dyDescent="0.3">
      <c r="A50" s="18" t="s">
        <v>64</v>
      </c>
      <c r="B50" s="19">
        <v>822</v>
      </c>
      <c r="C50" s="19">
        <v>822</v>
      </c>
    </row>
    <row r="51" spans="1:3" x14ac:dyDescent="0.3">
      <c r="A51" s="18" t="s">
        <v>101</v>
      </c>
      <c r="B51" s="19">
        <v>1032</v>
      </c>
      <c r="C51" s="19">
        <v>1032</v>
      </c>
    </row>
    <row r="52" spans="1:3" x14ac:dyDescent="0.3">
      <c r="A52" s="18" t="s">
        <v>102</v>
      </c>
      <c r="B52" s="19">
        <v>642</v>
      </c>
      <c r="C52" s="19">
        <v>642</v>
      </c>
    </row>
    <row r="53" spans="1:3" x14ac:dyDescent="0.3">
      <c r="A53" s="18" t="s">
        <v>97</v>
      </c>
      <c r="B53" s="19">
        <v>1102</v>
      </c>
      <c r="C53" s="19">
        <v>1102</v>
      </c>
    </row>
    <row r="54" spans="1:3" x14ac:dyDescent="0.3">
      <c r="A54" s="18" t="s">
        <v>98</v>
      </c>
      <c r="B54" s="19">
        <v>523</v>
      </c>
      <c r="C54" s="19">
        <v>523</v>
      </c>
    </row>
    <row r="55" spans="1:3" x14ac:dyDescent="0.3">
      <c r="A55" s="17" t="s">
        <v>104</v>
      </c>
      <c r="B55" s="19">
        <v>37449</v>
      </c>
      <c r="C55" s="19">
        <v>37449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4330-95E0-4090-AA0E-71120EA681C9}">
  <dimension ref="A3:B17"/>
  <sheetViews>
    <sheetView workbookViewId="0">
      <selection activeCell="F19" sqref="F19"/>
    </sheetView>
  </sheetViews>
  <sheetFormatPr defaultRowHeight="14.4" x14ac:dyDescent="0.3"/>
  <cols>
    <col min="1" max="1" width="15.5546875" bestFit="1" customWidth="1"/>
    <col min="2" max="2" width="11.6640625" bestFit="1" customWidth="1"/>
    <col min="3" max="3" width="26.6640625" customWidth="1"/>
  </cols>
  <sheetData>
    <row r="3" spans="1:2" x14ac:dyDescent="0.3">
      <c r="A3" s="16" t="s">
        <v>103</v>
      </c>
      <c r="B3" t="s">
        <v>111</v>
      </c>
    </row>
    <row r="4" spans="1:2" x14ac:dyDescent="0.3">
      <c r="A4" s="17" t="s">
        <v>79</v>
      </c>
      <c r="B4" s="19">
        <v>1465</v>
      </c>
    </row>
    <row r="5" spans="1:2" x14ac:dyDescent="0.3">
      <c r="A5" s="17" t="s">
        <v>85</v>
      </c>
      <c r="B5" s="19">
        <v>1478</v>
      </c>
    </row>
    <row r="6" spans="1:2" x14ac:dyDescent="0.3">
      <c r="A6" s="17" t="s">
        <v>83</v>
      </c>
      <c r="B6" s="19">
        <v>3220</v>
      </c>
    </row>
    <row r="7" spans="1:2" x14ac:dyDescent="0.3">
      <c r="A7" s="17" t="s">
        <v>94</v>
      </c>
      <c r="B7" s="19">
        <v>2960</v>
      </c>
    </row>
    <row r="8" spans="1:2" x14ac:dyDescent="0.3">
      <c r="A8" s="17" t="s">
        <v>81</v>
      </c>
      <c r="B8" s="19">
        <v>7312</v>
      </c>
    </row>
    <row r="9" spans="1:2" x14ac:dyDescent="0.3">
      <c r="A9" s="17" t="s">
        <v>99</v>
      </c>
      <c r="B9" s="19">
        <v>2839</v>
      </c>
    </row>
    <row r="10" spans="1:2" x14ac:dyDescent="0.3">
      <c r="A10" s="17" t="s">
        <v>77</v>
      </c>
      <c r="B10" s="19">
        <v>4814</v>
      </c>
    </row>
    <row r="11" spans="1:2" x14ac:dyDescent="0.3">
      <c r="A11" s="17" t="s">
        <v>64</v>
      </c>
      <c r="B11" s="19">
        <v>3739</v>
      </c>
    </row>
    <row r="12" spans="1:2" x14ac:dyDescent="0.3">
      <c r="A12" s="17" t="s">
        <v>101</v>
      </c>
      <c r="B12" s="19">
        <v>2562</v>
      </c>
    </row>
    <row r="13" spans="1:2" x14ac:dyDescent="0.3">
      <c r="A13" s="17" t="s">
        <v>102</v>
      </c>
      <c r="B13" s="19">
        <v>1250</v>
      </c>
    </row>
    <row r="14" spans="1:2" x14ac:dyDescent="0.3">
      <c r="A14" s="17" t="s">
        <v>97</v>
      </c>
      <c r="B14" s="19">
        <v>3517</v>
      </c>
    </row>
    <row r="15" spans="1:2" x14ac:dyDescent="0.3">
      <c r="A15" s="17" t="s">
        <v>98</v>
      </c>
      <c r="B15" s="19">
        <v>1397</v>
      </c>
    </row>
    <row r="16" spans="1:2" x14ac:dyDescent="0.3">
      <c r="A16" s="17" t="s">
        <v>84</v>
      </c>
      <c r="B16" s="19">
        <v>896</v>
      </c>
    </row>
    <row r="17" spans="1:2" x14ac:dyDescent="0.3">
      <c r="A17" s="17" t="s">
        <v>104</v>
      </c>
      <c r="B17" s="19">
        <v>37449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28C-CE3D-4F2B-AC7B-339DDC1546EB}">
  <dimension ref="A1:B14"/>
  <sheetViews>
    <sheetView tabSelected="1" workbookViewId="0">
      <selection activeCell="A2" sqref="A2:B14"/>
    </sheetView>
  </sheetViews>
  <sheetFormatPr defaultRowHeight="14.4" x14ac:dyDescent="0.3"/>
  <cols>
    <col min="1" max="1" width="15.5546875" bestFit="1" customWidth="1"/>
    <col min="2" max="2" width="7.5546875" bestFit="1" customWidth="1"/>
  </cols>
  <sheetData>
    <row r="1" spans="1:2" x14ac:dyDescent="0.3">
      <c r="A1" s="26" t="s">
        <v>52</v>
      </c>
      <c r="B1" s="26" t="s">
        <v>61</v>
      </c>
    </row>
    <row r="2" spans="1:2" x14ac:dyDescent="0.3">
      <c r="A2" s="17" t="s">
        <v>79</v>
      </c>
      <c r="B2" s="19">
        <v>1465</v>
      </c>
    </row>
    <row r="3" spans="1:2" x14ac:dyDescent="0.3">
      <c r="A3" s="17" t="s">
        <v>85</v>
      </c>
      <c r="B3" s="19">
        <v>1478</v>
      </c>
    </row>
    <row r="4" spans="1:2" x14ac:dyDescent="0.3">
      <c r="A4" s="17" t="s">
        <v>83</v>
      </c>
      <c r="B4" s="19">
        <v>3220</v>
      </c>
    </row>
    <row r="5" spans="1:2" x14ac:dyDescent="0.3">
      <c r="A5" s="17" t="s">
        <v>94</v>
      </c>
      <c r="B5" s="19">
        <v>2960</v>
      </c>
    </row>
    <row r="6" spans="1:2" x14ac:dyDescent="0.3">
      <c r="A6" s="17" t="s">
        <v>81</v>
      </c>
      <c r="B6" s="19">
        <v>7312</v>
      </c>
    </row>
    <row r="7" spans="1:2" x14ac:dyDescent="0.3">
      <c r="A7" s="17" t="s">
        <v>99</v>
      </c>
      <c r="B7" s="19">
        <v>2839</v>
      </c>
    </row>
    <row r="8" spans="1:2" x14ac:dyDescent="0.3">
      <c r="A8" s="17" t="s">
        <v>77</v>
      </c>
      <c r="B8" s="19">
        <v>4814</v>
      </c>
    </row>
    <row r="9" spans="1:2" x14ac:dyDescent="0.3">
      <c r="A9" s="17" t="s">
        <v>64</v>
      </c>
      <c r="B9" s="19">
        <v>3739</v>
      </c>
    </row>
    <row r="10" spans="1:2" x14ac:dyDescent="0.3">
      <c r="A10" s="17" t="s">
        <v>101</v>
      </c>
      <c r="B10" s="19">
        <v>2562</v>
      </c>
    </row>
    <row r="11" spans="1:2" x14ac:dyDescent="0.3">
      <c r="A11" s="17" t="s">
        <v>102</v>
      </c>
      <c r="B11" s="19">
        <v>1250</v>
      </c>
    </row>
    <row r="12" spans="1:2" x14ac:dyDescent="0.3">
      <c r="A12" s="17" t="s">
        <v>97</v>
      </c>
      <c r="B12" s="19">
        <v>3517</v>
      </c>
    </row>
    <row r="13" spans="1:2" x14ac:dyDescent="0.3">
      <c r="A13" s="17" t="s">
        <v>98</v>
      </c>
      <c r="B13" s="19">
        <v>1397</v>
      </c>
    </row>
    <row r="14" spans="1:2" x14ac:dyDescent="0.3">
      <c r="A14" s="17" t="s">
        <v>84</v>
      </c>
      <c r="B14" s="19">
        <v>896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1A4CC-0EC8-42F0-A4A3-A5D1D2218B24}">
  <dimension ref="A1:N200"/>
  <sheetViews>
    <sheetView topLeftCell="A2" workbookViewId="0">
      <selection activeCell="E13" sqref="E13"/>
    </sheetView>
  </sheetViews>
  <sheetFormatPr defaultRowHeight="14.4" x14ac:dyDescent="0.3"/>
  <cols>
    <col min="1" max="1" width="13.77734375" style="10" customWidth="1"/>
    <col min="2" max="2" width="13.33203125" style="6" bestFit="1" customWidth="1"/>
    <col min="3" max="3" width="26.88671875" customWidth="1"/>
    <col min="4" max="4" width="16.109375" customWidth="1"/>
    <col min="5" max="5" width="16.77734375" customWidth="1"/>
    <col min="6" max="6" width="17.5546875" bestFit="1" customWidth="1"/>
    <col min="7" max="7" width="12.21875" customWidth="1"/>
    <col min="8" max="8" width="8.77734375" bestFit="1" customWidth="1"/>
    <col min="9" max="9" width="18.21875" customWidth="1"/>
    <col min="10" max="10" width="17.77734375" customWidth="1"/>
    <col min="11" max="11" width="15.21875" customWidth="1"/>
    <col min="12" max="12" width="11.77734375" bestFit="1" customWidth="1"/>
    <col min="13" max="13" width="11" bestFit="1" customWidth="1"/>
    <col min="14" max="14" width="19.88671875" customWidth="1"/>
  </cols>
  <sheetData>
    <row r="1" spans="1:14" s="7" customFormat="1" ht="18" x14ac:dyDescent="0.35">
      <c r="A1" s="8" t="s">
        <v>50</v>
      </c>
      <c r="B1" s="5" t="s">
        <v>51</v>
      </c>
      <c r="C1" s="11" t="s">
        <v>52</v>
      </c>
      <c r="D1" s="11" t="s">
        <v>53</v>
      </c>
      <c r="E1" s="11" t="s">
        <v>54</v>
      </c>
      <c r="F1" s="11" t="s">
        <v>55</v>
      </c>
      <c r="G1" s="11" t="s">
        <v>56</v>
      </c>
      <c r="H1" s="11" t="s">
        <v>57</v>
      </c>
      <c r="I1" s="13" t="s">
        <v>58</v>
      </c>
      <c r="J1" s="13" t="s">
        <v>59</v>
      </c>
      <c r="K1" s="13" t="s">
        <v>60</v>
      </c>
      <c r="L1" s="13" t="s">
        <v>61</v>
      </c>
      <c r="M1" s="13" t="s">
        <v>62</v>
      </c>
      <c r="N1" s="13" t="s">
        <v>63</v>
      </c>
    </row>
    <row r="2" spans="1:14" ht="18" x14ac:dyDescent="0.35">
      <c r="A2" s="9">
        <v>970</v>
      </c>
      <c r="B2" s="2">
        <v>44562</v>
      </c>
      <c r="C2" s="12" t="s">
        <v>64</v>
      </c>
      <c r="D2" s="12" t="s">
        <v>65</v>
      </c>
      <c r="E2" s="12" t="s">
        <v>66</v>
      </c>
      <c r="F2" s="12" t="s">
        <v>67</v>
      </c>
      <c r="G2" s="12" t="s">
        <v>68</v>
      </c>
      <c r="H2" s="12" t="s">
        <v>69</v>
      </c>
      <c r="I2" s="14">
        <v>110</v>
      </c>
      <c r="J2" s="14">
        <v>240</v>
      </c>
      <c r="K2" s="14">
        <v>26</v>
      </c>
      <c r="L2" s="14">
        <v>101</v>
      </c>
      <c r="M2" s="14">
        <v>234</v>
      </c>
      <c r="N2" s="14">
        <v>38</v>
      </c>
    </row>
    <row r="3" spans="1:14" ht="18" x14ac:dyDescent="0.35">
      <c r="A3" s="9">
        <v>970</v>
      </c>
      <c r="B3" s="2">
        <v>44562</v>
      </c>
      <c r="C3" s="12" t="s">
        <v>64</v>
      </c>
      <c r="D3" s="12" t="s">
        <v>65</v>
      </c>
      <c r="E3" s="12" t="s">
        <v>66</v>
      </c>
      <c r="F3" s="12" t="s">
        <v>67</v>
      </c>
      <c r="G3" s="12" t="s">
        <v>68</v>
      </c>
      <c r="H3" s="12" t="s">
        <v>69</v>
      </c>
      <c r="I3" s="14">
        <v>110</v>
      </c>
      <c r="J3" s="14">
        <v>240</v>
      </c>
      <c r="K3" s="14">
        <v>26</v>
      </c>
      <c r="L3" s="14">
        <v>101</v>
      </c>
      <c r="M3" s="14">
        <v>234</v>
      </c>
      <c r="N3" s="14">
        <v>38</v>
      </c>
    </row>
    <row r="4" spans="1:14" ht="18" x14ac:dyDescent="0.35">
      <c r="A4" s="9">
        <v>309</v>
      </c>
      <c r="B4" s="2">
        <v>44562</v>
      </c>
      <c r="C4" s="12" t="s">
        <v>64</v>
      </c>
      <c r="D4" s="12" t="s">
        <v>65</v>
      </c>
      <c r="E4" s="12" t="s">
        <v>66</v>
      </c>
      <c r="F4" s="12" t="s">
        <v>6</v>
      </c>
      <c r="G4" s="12" t="s">
        <v>68</v>
      </c>
      <c r="H4" s="12" t="s">
        <v>69</v>
      </c>
      <c r="I4" s="14">
        <v>100</v>
      </c>
      <c r="J4" s="14">
        <v>240</v>
      </c>
      <c r="K4" s="14">
        <v>30</v>
      </c>
      <c r="L4" s="14">
        <v>87</v>
      </c>
      <c r="M4" s="14">
        <v>234</v>
      </c>
      <c r="N4" s="14">
        <v>52</v>
      </c>
    </row>
    <row r="5" spans="1:14" ht="18" x14ac:dyDescent="0.35">
      <c r="A5" s="9">
        <v>614</v>
      </c>
      <c r="B5" s="2">
        <v>44562</v>
      </c>
      <c r="C5" s="12" t="s">
        <v>64</v>
      </c>
      <c r="D5" s="12" t="s">
        <v>65</v>
      </c>
      <c r="E5" s="12" t="s">
        <v>66</v>
      </c>
      <c r="F5" s="12" t="s">
        <v>70</v>
      </c>
      <c r="G5" s="12" t="s">
        <v>68</v>
      </c>
      <c r="H5" s="12" t="s">
        <v>69</v>
      </c>
      <c r="I5" s="14">
        <v>20</v>
      </c>
      <c r="J5" s="14">
        <v>150</v>
      </c>
      <c r="K5" s="14">
        <v>57</v>
      </c>
      <c r="L5" s="14">
        <v>0</v>
      </c>
      <c r="M5" s="14">
        <v>150</v>
      </c>
      <c r="N5" s="14">
        <v>87</v>
      </c>
    </row>
    <row r="6" spans="1:14" ht="18" x14ac:dyDescent="0.35">
      <c r="A6" s="9">
        <v>754</v>
      </c>
      <c r="B6" s="2">
        <v>44562</v>
      </c>
      <c r="C6" s="12" t="s">
        <v>64</v>
      </c>
      <c r="D6" s="12" t="s">
        <v>65</v>
      </c>
      <c r="E6" s="12" t="s">
        <v>66</v>
      </c>
      <c r="F6" s="12" t="s">
        <v>71</v>
      </c>
      <c r="G6" s="12" t="s">
        <v>72</v>
      </c>
      <c r="H6" s="12" t="s">
        <v>69</v>
      </c>
      <c r="I6" s="14">
        <v>70</v>
      </c>
      <c r="J6" s="14">
        <v>190</v>
      </c>
      <c r="K6" s="14">
        <v>26</v>
      </c>
      <c r="L6" s="14">
        <v>67</v>
      </c>
      <c r="M6" s="14">
        <v>200</v>
      </c>
      <c r="N6" s="14">
        <v>49</v>
      </c>
    </row>
    <row r="7" spans="1:14" ht="18" x14ac:dyDescent="0.35">
      <c r="A7" s="9">
        <v>325</v>
      </c>
      <c r="B7" s="2">
        <v>44562</v>
      </c>
      <c r="C7" s="12" t="s">
        <v>64</v>
      </c>
      <c r="D7" s="12" t="s">
        <v>65</v>
      </c>
      <c r="E7" s="12" t="s">
        <v>66</v>
      </c>
      <c r="F7" s="12" t="s">
        <v>73</v>
      </c>
      <c r="G7" s="12" t="s">
        <v>74</v>
      </c>
      <c r="H7" s="12" t="s">
        <v>69</v>
      </c>
      <c r="I7" s="14">
        <v>100</v>
      </c>
      <c r="J7" s="14">
        <v>230</v>
      </c>
      <c r="K7" s="14">
        <v>27</v>
      </c>
      <c r="L7" s="14">
        <v>68</v>
      </c>
      <c r="M7" s="14">
        <v>190</v>
      </c>
      <c r="N7" s="14">
        <v>39</v>
      </c>
    </row>
    <row r="8" spans="1:14" ht="18" x14ac:dyDescent="0.35">
      <c r="A8" s="9">
        <v>650</v>
      </c>
      <c r="B8" s="2">
        <v>44562</v>
      </c>
      <c r="C8" s="12" t="s">
        <v>64</v>
      </c>
      <c r="D8" s="12" t="s">
        <v>65</v>
      </c>
      <c r="E8" s="12" t="s">
        <v>66</v>
      </c>
      <c r="F8" s="12" t="s">
        <v>75</v>
      </c>
      <c r="G8" s="12" t="s">
        <v>76</v>
      </c>
      <c r="H8" s="12" t="s">
        <v>69</v>
      </c>
      <c r="I8" s="14">
        <v>-120</v>
      </c>
      <c r="J8" s="14">
        <v>140</v>
      </c>
      <c r="K8" s="14">
        <v>47</v>
      </c>
      <c r="L8" s="14">
        <v>-117</v>
      </c>
      <c r="M8" s="14">
        <v>118</v>
      </c>
      <c r="N8" s="14">
        <v>91</v>
      </c>
    </row>
    <row r="9" spans="1:14" ht="18" x14ac:dyDescent="0.35">
      <c r="A9" s="9">
        <v>720</v>
      </c>
      <c r="B9" s="2">
        <v>44562</v>
      </c>
      <c r="C9" s="12" t="s">
        <v>77</v>
      </c>
      <c r="D9" s="12" t="s">
        <v>65</v>
      </c>
      <c r="E9" s="12" t="s">
        <v>78</v>
      </c>
      <c r="F9" s="12" t="s">
        <v>67</v>
      </c>
      <c r="G9" s="12" t="s">
        <v>68</v>
      </c>
      <c r="H9" s="12" t="s">
        <v>69</v>
      </c>
      <c r="I9" s="14">
        <v>80</v>
      </c>
      <c r="J9" s="14">
        <v>210</v>
      </c>
      <c r="K9" s="14">
        <v>23</v>
      </c>
      <c r="L9" s="14">
        <v>53</v>
      </c>
      <c r="M9" s="14">
        <v>180</v>
      </c>
      <c r="N9" s="14">
        <v>55</v>
      </c>
    </row>
    <row r="10" spans="1:14" ht="18" x14ac:dyDescent="0.35">
      <c r="A10" s="9">
        <v>630</v>
      </c>
      <c r="B10" s="2">
        <v>44562</v>
      </c>
      <c r="C10" s="12" t="s">
        <v>77</v>
      </c>
      <c r="D10" s="12" t="s">
        <v>65</v>
      </c>
      <c r="E10" s="12" t="s">
        <v>78</v>
      </c>
      <c r="F10" s="12" t="s">
        <v>6</v>
      </c>
      <c r="G10" s="12" t="s">
        <v>68</v>
      </c>
      <c r="H10" s="12" t="s">
        <v>69</v>
      </c>
      <c r="I10" s="14">
        <v>180</v>
      </c>
      <c r="J10" s="14">
        <v>530</v>
      </c>
      <c r="K10" s="14">
        <v>63</v>
      </c>
      <c r="L10" s="14">
        <v>140</v>
      </c>
      <c r="M10" s="14">
        <v>456</v>
      </c>
      <c r="N10" s="14">
        <v>88</v>
      </c>
    </row>
    <row r="11" spans="1:14" ht="18" x14ac:dyDescent="0.35">
      <c r="A11" s="9">
        <v>614</v>
      </c>
      <c r="B11" s="2">
        <v>44562</v>
      </c>
      <c r="C11" s="12" t="s">
        <v>77</v>
      </c>
      <c r="D11" s="12" t="s">
        <v>65</v>
      </c>
      <c r="E11" s="12" t="s">
        <v>78</v>
      </c>
      <c r="F11" s="12" t="s">
        <v>70</v>
      </c>
      <c r="G11" s="12" t="s">
        <v>68</v>
      </c>
      <c r="H11" s="12" t="s">
        <v>69</v>
      </c>
      <c r="I11" s="14">
        <v>40</v>
      </c>
      <c r="J11" s="14">
        <v>150</v>
      </c>
      <c r="K11" s="14">
        <v>22</v>
      </c>
      <c r="L11" s="14">
        <v>16</v>
      </c>
      <c r="M11" s="14">
        <v>130</v>
      </c>
      <c r="N11" s="14">
        <v>56</v>
      </c>
    </row>
    <row r="12" spans="1:14" ht="18" x14ac:dyDescent="0.35">
      <c r="A12" s="9">
        <v>754</v>
      </c>
      <c r="B12" s="2">
        <v>44562</v>
      </c>
      <c r="C12" s="12" t="s">
        <v>77</v>
      </c>
      <c r="D12" s="12" t="s">
        <v>65</v>
      </c>
      <c r="E12" s="12" t="s">
        <v>78</v>
      </c>
      <c r="F12" s="12" t="s">
        <v>71</v>
      </c>
      <c r="G12" s="12" t="s">
        <v>72</v>
      </c>
      <c r="H12" s="12" t="s">
        <v>69</v>
      </c>
      <c r="I12" s="14">
        <v>60</v>
      </c>
      <c r="J12" s="14">
        <v>170</v>
      </c>
      <c r="K12" s="14">
        <v>25</v>
      </c>
      <c r="L12" s="14">
        <v>50</v>
      </c>
      <c r="M12" s="14">
        <v>180</v>
      </c>
      <c r="N12" s="14">
        <v>53</v>
      </c>
    </row>
    <row r="13" spans="1:14" ht="18" x14ac:dyDescent="0.35">
      <c r="A13" s="9">
        <v>956</v>
      </c>
      <c r="B13" s="2">
        <v>44562</v>
      </c>
      <c r="C13" s="12" t="s">
        <v>77</v>
      </c>
      <c r="D13" s="12" t="s">
        <v>65</v>
      </c>
      <c r="E13" s="12" t="s">
        <v>78</v>
      </c>
      <c r="F13" s="12" t="s">
        <v>73</v>
      </c>
      <c r="G13" s="12" t="s">
        <v>74</v>
      </c>
      <c r="H13" s="12" t="s">
        <v>69</v>
      </c>
      <c r="I13" s="14">
        <v>60</v>
      </c>
      <c r="J13" s="14">
        <v>110</v>
      </c>
      <c r="K13" s="14">
        <v>15</v>
      </c>
      <c r="L13" s="14">
        <v>54</v>
      </c>
      <c r="M13" s="14">
        <v>134</v>
      </c>
      <c r="N13" s="14">
        <v>26</v>
      </c>
    </row>
    <row r="14" spans="1:14" ht="18" x14ac:dyDescent="0.35">
      <c r="A14" s="9">
        <v>213</v>
      </c>
      <c r="B14" s="2">
        <v>44562</v>
      </c>
      <c r="C14" s="12" t="s">
        <v>77</v>
      </c>
      <c r="D14" s="12" t="s">
        <v>65</v>
      </c>
      <c r="E14" s="12" t="s">
        <v>78</v>
      </c>
      <c r="F14" s="12" t="s">
        <v>75</v>
      </c>
      <c r="G14" s="12" t="s">
        <v>76</v>
      </c>
      <c r="H14" s="12" t="s">
        <v>69</v>
      </c>
      <c r="I14" s="14">
        <v>200</v>
      </c>
      <c r="J14" s="14">
        <v>520</v>
      </c>
      <c r="K14" s="14">
        <v>77</v>
      </c>
      <c r="L14" s="14">
        <v>203</v>
      </c>
      <c r="M14" s="14">
        <v>546</v>
      </c>
      <c r="N14" s="14">
        <v>109</v>
      </c>
    </row>
    <row r="15" spans="1:14" ht="18" x14ac:dyDescent="0.35">
      <c r="A15" s="9">
        <v>719</v>
      </c>
      <c r="B15" s="2">
        <v>44562</v>
      </c>
      <c r="C15" s="12" t="s">
        <v>79</v>
      </c>
      <c r="D15" s="12" t="s">
        <v>65</v>
      </c>
      <c r="E15" s="12" t="s">
        <v>66</v>
      </c>
      <c r="F15" s="12" t="s">
        <v>67</v>
      </c>
      <c r="G15" s="12" t="s">
        <v>68</v>
      </c>
      <c r="H15" s="12" t="s">
        <v>80</v>
      </c>
      <c r="I15" s="14">
        <v>100</v>
      </c>
      <c r="J15" s="14">
        <v>220</v>
      </c>
      <c r="K15" s="14">
        <v>24</v>
      </c>
      <c r="L15" s="14">
        <v>94</v>
      </c>
      <c r="M15" s="14">
        <v>219</v>
      </c>
      <c r="N15" s="14">
        <v>36</v>
      </c>
    </row>
    <row r="16" spans="1:14" ht="18" x14ac:dyDescent="0.35">
      <c r="A16" s="9">
        <v>740</v>
      </c>
      <c r="B16" s="2">
        <v>44562</v>
      </c>
      <c r="C16" s="12" t="s">
        <v>79</v>
      </c>
      <c r="D16" s="12" t="s">
        <v>65</v>
      </c>
      <c r="E16" s="12" t="s">
        <v>66</v>
      </c>
      <c r="F16" s="12" t="s">
        <v>70</v>
      </c>
      <c r="G16" s="12" t="s">
        <v>68</v>
      </c>
      <c r="H16" s="12" t="s">
        <v>80</v>
      </c>
      <c r="I16" s="14">
        <v>50</v>
      </c>
      <c r="J16" s="14">
        <v>140</v>
      </c>
      <c r="K16" s="14">
        <v>19</v>
      </c>
      <c r="L16" s="14">
        <v>34</v>
      </c>
      <c r="M16" s="14">
        <v>140</v>
      </c>
      <c r="N16" s="14">
        <v>46</v>
      </c>
    </row>
    <row r="17" spans="1:14" ht="18" x14ac:dyDescent="0.35">
      <c r="A17" s="9">
        <v>970</v>
      </c>
      <c r="B17" s="2">
        <v>44562</v>
      </c>
      <c r="C17" s="12" t="s">
        <v>81</v>
      </c>
      <c r="D17" s="12" t="s">
        <v>65</v>
      </c>
      <c r="E17" s="12" t="s">
        <v>66</v>
      </c>
      <c r="F17" s="12" t="s">
        <v>67</v>
      </c>
      <c r="G17" s="12" t="s">
        <v>68</v>
      </c>
      <c r="H17" s="12" t="s">
        <v>80</v>
      </c>
      <c r="I17" s="14">
        <v>80</v>
      </c>
      <c r="J17" s="14">
        <v>190</v>
      </c>
      <c r="K17" s="14">
        <v>27</v>
      </c>
      <c r="L17" s="14">
        <v>68</v>
      </c>
      <c r="M17" s="14">
        <v>190</v>
      </c>
      <c r="N17" s="14">
        <v>39</v>
      </c>
    </row>
    <row r="18" spans="1:14" ht="18" x14ac:dyDescent="0.35">
      <c r="A18" s="9">
        <v>217</v>
      </c>
      <c r="B18" s="2">
        <v>44562</v>
      </c>
      <c r="C18" s="12" t="s">
        <v>81</v>
      </c>
      <c r="D18" s="12" t="s">
        <v>65</v>
      </c>
      <c r="E18" s="12" t="s">
        <v>66</v>
      </c>
      <c r="F18" s="12" t="s">
        <v>6</v>
      </c>
      <c r="G18" s="12" t="s">
        <v>68</v>
      </c>
      <c r="H18" s="12" t="s">
        <v>80</v>
      </c>
      <c r="I18" s="14">
        <v>130</v>
      </c>
      <c r="J18" s="14">
        <v>360</v>
      </c>
      <c r="K18" s="14">
        <v>47</v>
      </c>
      <c r="L18" s="14">
        <v>111</v>
      </c>
      <c r="M18" s="14">
        <v>345</v>
      </c>
      <c r="N18" s="14">
        <v>90</v>
      </c>
    </row>
    <row r="19" spans="1:14" ht="18" x14ac:dyDescent="0.35">
      <c r="A19" s="9">
        <v>614</v>
      </c>
      <c r="B19" s="2">
        <v>44562</v>
      </c>
      <c r="C19" s="12" t="s">
        <v>81</v>
      </c>
      <c r="D19" s="12" t="s">
        <v>65</v>
      </c>
      <c r="E19" s="12" t="s">
        <v>66</v>
      </c>
      <c r="F19" s="12" t="s">
        <v>70</v>
      </c>
      <c r="G19" s="12" t="s">
        <v>68</v>
      </c>
      <c r="H19" s="12" t="s">
        <v>80</v>
      </c>
      <c r="I19" s="14">
        <v>50</v>
      </c>
      <c r="J19" s="14">
        <v>140</v>
      </c>
      <c r="K19" s="14">
        <v>18</v>
      </c>
      <c r="L19" s="14">
        <v>42</v>
      </c>
      <c r="M19" s="14">
        <v>140</v>
      </c>
      <c r="N19" s="14">
        <v>41</v>
      </c>
    </row>
    <row r="20" spans="1:14" ht="18" x14ac:dyDescent="0.35">
      <c r="A20" s="9">
        <v>954</v>
      </c>
      <c r="B20" s="2">
        <v>44562</v>
      </c>
      <c r="C20" s="12" t="s">
        <v>81</v>
      </c>
      <c r="D20" s="12" t="s">
        <v>65</v>
      </c>
      <c r="E20" s="12" t="s">
        <v>66</v>
      </c>
      <c r="F20" s="12" t="s">
        <v>71</v>
      </c>
      <c r="G20" s="12" t="s">
        <v>72</v>
      </c>
      <c r="H20" s="12" t="s">
        <v>80</v>
      </c>
      <c r="I20" s="14">
        <v>70</v>
      </c>
      <c r="J20" s="14">
        <v>190</v>
      </c>
      <c r="K20" s="14">
        <v>27</v>
      </c>
      <c r="L20" s="14">
        <v>68</v>
      </c>
      <c r="M20" s="14">
        <v>210</v>
      </c>
      <c r="N20" s="14">
        <v>58</v>
      </c>
    </row>
    <row r="21" spans="1:14" ht="18" x14ac:dyDescent="0.35">
      <c r="A21" s="9">
        <v>413</v>
      </c>
      <c r="B21" s="2">
        <v>44562</v>
      </c>
      <c r="C21" s="12" t="s">
        <v>81</v>
      </c>
      <c r="D21" s="12" t="s">
        <v>65</v>
      </c>
      <c r="E21" s="12" t="s">
        <v>66</v>
      </c>
      <c r="F21" s="12" t="s">
        <v>82</v>
      </c>
      <c r="G21" s="12" t="s">
        <v>72</v>
      </c>
      <c r="H21" s="12" t="s">
        <v>80</v>
      </c>
      <c r="I21" s="14">
        <v>360</v>
      </c>
      <c r="J21" s="14">
        <v>460</v>
      </c>
      <c r="K21" s="14">
        <v>23</v>
      </c>
      <c r="L21" s="14">
        <v>367</v>
      </c>
      <c r="M21" s="14">
        <v>494</v>
      </c>
      <c r="N21" s="14">
        <v>55</v>
      </c>
    </row>
    <row r="22" spans="1:14" ht="18" x14ac:dyDescent="0.35">
      <c r="A22" s="9">
        <v>716</v>
      </c>
      <c r="B22" s="2">
        <v>44562</v>
      </c>
      <c r="C22" s="12" t="s">
        <v>81</v>
      </c>
      <c r="D22" s="12" t="s">
        <v>65</v>
      </c>
      <c r="E22" s="12" t="s">
        <v>66</v>
      </c>
      <c r="F22" s="12" t="s">
        <v>27</v>
      </c>
      <c r="G22" s="12" t="s">
        <v>72</v>
      </c>
      <c r="H22" s="12" t="s">
        <v>80</v>
      </c>
      <c r="I22" s="14">
        <v>260</v>
      </c>
      <c r="J22" s="14">
        <v>640</v>
      </c>
      <c r="K22" s="14">
        <v>94</v>
      </c>
      <c r="L22" s="14">
        <v>262</v>
      </c>
      <c r="M22" s="14">
        <v>678</v>
      </c>
      <c r="N22" s="14">
        <v>145</v>
      </c>
    </row>
    <row r="23" spans="1:14" ht="18" x14ac:dyDescent="0.35">
      <c r="A23" s="9">
        <v>409</v>
      </c>
      <c r="B23" s="2">
        <v>44562</v>
      </c>
      <c r="C23" s="12" t="s">
        <v>81</v>
      </c>
      <c r="D23" s="12" t="s">
        <v>65</v>
      </c>
      <c r="E23" s="12" t="s">
        <v>66</v>
      </c>
      <c r="F23" s="12" t="s">
        <v>73</v>
      </c>
      <c r="G23" s="12" t="s">
        <v>74</v>
      </c>
      <c r="H23" s="12" t="s">
        <v>80</v>
      </c>
      <c r="I23" s="14">
        <v>220</v>
      </c>
      <c r="J23" s="14">
        <v>560</v>
      </c>
      <c r="K23" s="14">
        <v>64</v>
      </c>
      <c r="L23" s="14">
        <v>159</v>
      </c>
      <c r="M23" s="14">
        <v>452</v>
      </c>
      <c r="N23" s="14">
        <v>86</v>
      </c>
    </row>
    <row r="24" spans="1:14" ht="18" x14ac:dyDescent="0.35">
      <c r="A24" s="9">
        <v>916</v>
      </c>
      <c r="B24" s="2">
        <v>44562</v>
      </c>
      <c r="C24" s="12" t="s">
        <v>79</v>
      </c>
      <c r="D24" s="12" t="s">
        <v>65</v>
      </c>
      <c r="E24" s="12" t="s">
        <v>66</v>
      </c>
      <c r="F24" s="12" t="s">
        <v>75</v>
      </c>
      <c r="G24" s="12" t="s">
        <v>76</v>
      </c>
      <c r="H24" s="12" t="s">
        <v>80</v>
      </c>
      <c r="I24" s="14">
        <v>30</v>
      </c>
      <c r="J24" s="14">
        <v>180</v>
      </c>
      <c r="K24" s="14">
        <v>30</v>
      </c>
      <c r="L24" s="14">
        <v>-2</v>
      </c>
      <c r="M24" s="14">
        <v>145</v>
      </c>
      <c r="N24" s="14">
        <v>52</v>
      </c>
    </row>
    <row r="25" spans="1:14" ht="18" x14ac:dyDescent="0.35">
      <c r="A25" s="9">
        <v>559</v>
      </c>
      <c r="B25" s="2">
        <v>44562</v>
      </c>
      <c r="C25" s="12" t="s">
        <v>81</v>
      </c>
      <c r="D25" s="12" t="s">
        <v>65</v>
      </c>
      <c r="E25" s="12" t="s">
        <v>66</v>
      </c>
      <c r="F25" s="12" t="s">
        <v>75</v>
      </c>
      <c r="G25" s="12" t="s">
        <v>76</v>
      </c>
      <c r="H25" s="12" t="s">
        <v>80</v>
      </c>
      <c r="I25" s="14">
        <v>370</v>
      </c>
      <c r="J25" s="14">
        <v>840</v>
      </c>
      <c r="K25" s="14">
        <v>94</v>
      </c>
      <c r="L25" s="14">
        <v>262</v>
      </c>
      <c r="M25" s="14">
        <v>678</v>
      </c>
      <c r="N25" s="14">
        <v>145</v>
      </c>
    </row>
    <row r="26" spans="1:14" ht="18" x14ac:dyDescent="0.35">
      <c r="A26" s="9">
        <v>303</v>
      </c>
      <c r="B26" s="2">
        <v>44562</v>
      </c>
      <c r="C26" s="12" t="s">
        <v>83</v>
      </c>
      <c r="D26" s="12" t="s">
        <v>65</v>
      </c>
      <c r="E26" s="12" t="s">
        <v>78</v>
      </c>
      <c r="F26" s="12" t="s">
        <v>67</v>
      </c>
      <c r="G26" s="12" t="s">
        <v>68</v>
      </c>
      <c r="H26" s="12" t="s">
        <v>80</v>
      </c>
      <c r="I26" s="14">
        <v>70</v>
      </c>
      <c r="J26" s="14">
        <v>150</v>
      </c>
      <c r="K26" s="14">
        <v>15</v>
      </c>
      <c r="L26" s="14">
        <v>54</v>
      </c>
      <c r="M26" s="14">
        <v>134</v>
      </c>
      <c r="N26" s="14">
        <v>26</v>
      </c>
    </row>
    <row r="27" spans="1:14" ht="18" x14ac:dyDescent="0.35">
      <c r="A27" s="9">
        <v>309</v>
      </c>
      <c r="B27" s="2">
        <v>44562</v>
      </c>
      <c r="C27" s="12" t="s">
        <v>83</v>
      </c>
      <c r="D27" s="12" t="s">
        <v>65</v>
      </c>
      <c r="E27" s="12" t="s">
        <v>78</v>
      </c>
      <c r="F27" s="12" t="s">
        <v>6</v>
      </c>
      <c r="G27" s="12" t="s">
        <v>68</v>
      </c>
      <c r="H27" s="12" t="s">
        <v>80</v>
      </c>
      <c r="I27" s="14">
        <v>260</v>
      </c>
      <c r="J27" s="14">
        <v>640</v>
      </c>
      <c r="K27" s="14">
        <v>77</v>
      </c>
      <c r="L27" s="14">
        <v>203</v>
      </c>
      <c r="M27" s="14">
        <v>546</v>
      </c>
      <c r="N27" s="14">
        <v>109</v>
      </c>
    </row>
    <row r="28" spans="1:14" ht="18" x14ac:dyDescent="0.35">
      <c r="A28" s="9">
        <v>614</v>
      </c>
      <c r="B28" s="2">
        <v>44562</v>
      </c>
      <c r="C28" s="12" t="s">
        <v>83</v>
      </c>
      <c r="D28" s="12" t="s">
        <v>65</v>
      </c>
      <c r="E28" s="12" t="s">
        <v>78</v>
      </c>
      <c r="F28" s="12" t="s">
        <v>70</v>
      </c>
      <c r="G28" s="12" t="s">
        <v>68</v>
      </c>
      <c r="H28" s="12" t="s">
        <v>80</v>
      </c>
      <c r="I28" s="14">
        <v>140</v>
      </c>
      <c r="J28" s="14">
        <v>400</v>
      </c>
      <c r="K28" s="14">
        <v>47</v>
      </c>
      <c r="L28" s="14">
        <v>99</v>
      </c>
      <c r="M28" s="14">
        <v>341</v>
      </c>
      <c r="N28" s="14">
        <v>72</v>
      </c>
    </row>
    <row r="29" spans="1:14" ht="18" x14ac:dyDescent="0.35">
      <c r="A29" s="9">
        <v>239</v>
      </c>
      <c r="B29" s="2">
        <v>44562</v>
      </c>
      <c r="C29" s="12" t="s">
        <v>83</v>
      </c>
      <c r="D29" s="12" t="s">
        <v>65</v>
      </c>
      <c r="E29" s="12" t="s">
        <v>78</v>
      </c>
      <c r="F29" s="12" t="s">
        <v>71</v>
      </c>
      <c r="G29" s="12" t="s">
        <v>72</v>
      </c>
      <c r="H29" s="12" t="s">
        <v>80</v>
      </c>
      <c r="I29" s="14">
        <v>30</v>
      </c>
      <c r="J29" s="14">
        <v>180</v>
      </c>
      <c r="K29" s="14">
        <v>72</v>
      </c>
      <c r="L29" s="14">
        <v>9</v>
      </c>
      <c r="M29" s="14">
        <v>190</v>
      </c>
      <c r="N29" s="14">
        <v>102</v>
      </c>
    </row>
    <row r="30" spans="1:14" ht="18" x14ac:dyDescent="0.35">
      <c r="A30" s="9">
        <v>781</v>
      </c>
      <c r="B30" s="2">
        <v>44562</v>
      </c>
      <c r="C30" s="12" t="s">
        <v>83</v>
      </c>
      <c r="D30" s="12" t="s">
        <v>65</v>
      </c>
      <c r="E30" s="12" t="s">
        <v>78</v>
      </c>
      <c r="F30" s="12" t="s">
        <v>82</v>
      </c>
      <c r="G30" s="12" t="s">
        <v>72</v>
      </c>
      <c r="H30" s="12" t="s">
        <v>80</v>
      </c>
      <c r="I30" s="14">
        <v>-10</v>
      </c>
      <c r="J30" s="14">
        <v>120</v>
      </c>
      <c r="K30" s="14">
        <v>57</v>
      </c>
      <c r="L30" s="14">
        <v>-23</v>
      </c>
      <c r="M30" s="14">
        <v>126</v>
      </c>
      <c r="N30" s="14">
        <v>86</v>
      </c>
    </row>
    <row r="31" spans="1:14" ht="18" x14ac:dyDescent="0.35">
      <c r="A31" s="9">
        <v>315</v>
      </c>
      <c r="B31" s="2">
        <v>44562</v>
      </c>
      <c r="C31" s="12" t="s">
        <v>83</v>
      </c>
      <c r="D31" s="12" t="s">
        <v>65</v>
      </c>
      <c r="E31" s="12" t="s">
        <v>78</v>
      </c>
      <c r="F31" s="12" t="s">
        <v>27</v>
      </c>
      <c r="G31" s="12" t="s">
        <v>72</v>
      </c>
      <c r="H31" s="12" t="s">
        <v>80</v>
      </c>
      <c r="I31" s="14">
        <v>-170</v>
      </c>
      <c r="J31" s="14">
        <v>50</v>
      </c>
      <c r="K31" s="14">
        <v>95</v>
      </c>
      <c r="L31" s="14">
        <v>-172</v>
      </c>
      <c r="M31" s="14">
        <v>61</v>
      </c>
      <c r="N31" s="14">
        <v>128</v>
      </c>
    </row>
    <row r="32" spans="1:14" ht="18" x14ac:dyDescent="0.35">
      <c r="A32" s="9">
        <v>978</v>
      </c>
      <c r="B32" s="2">
        <v>44562</v>
      </c>
      <c r="C32" s="12" t="s">
        <v>84</v>
      </c>
      <c r="D32" s="12" t="s">
        <v>65</v>
      </c>
      <c r="E32" s="12" t="s">
        <v>78</v>
      </c>
      <c r="F32" s="12" t="s">
        <v>82</v>
      </c>
      <c r="G32" s="12" t="s">
        <v>72</v>
      </c>
      <c r="H32" s="12" t="s">
        <v>80</v>
      </c>
      <c r="I32" s="14">
        <v>110</v>
      </c>
      <c r="J32" s="14">
        <v>330</v>
      </c>
      <c r="K32" s="14">
        <v>47</v>
      </c>
      <c r="L32" s="14">
        <v>100</v>
      </c>
      <c r="M32" s="14">
        <v>341</v>
      </c>
      <c r="N32" s="14">
        <v>71</v>
      </c>
    </row>
    <row r="33" spans="1:14" ht="18" x14ac:dyDescent="0.35">
      <c r="A33" s="9">
        <v>631</v>
      </c>
      <c r="B33" s="2">
        <v>44562</v>
      </c>
      <c r="C33" s="12" t="s">
        <v>84</v>
      </c>
      <c r="D33" s="12" t="s">
        <v>65</v>
      </c>
      <c r="E33" s="12" t="s">
        <v>78</v>
      </c>
      <c r="F33" s="12" t="s">
        <v>27</v>
      </c>
      <c r="G33" s="12" t="s">
        <v>72</v>
      </c>
      <c r="H33" s="12" t="s">
        <v>80</v>
      </c>
      <c r="I33" s="14">
        <v>200</v>
      </c>
      <c r="J33" s="14">
        <v>480</v>
      </c>
      <c r="K33" s="14">
        <v>63</v>
      </c>
      <c r="L33" s="14">
        <v>175</v>
      </c>
      <c r="M33" s="14">
        <v>490</v>
      </c>
      <c r="N33" s="14">
        <v>87</v>
      </c>
    </row>
    <row r="34" spans="1:14" ht="18" x14ac:dyDescent="0.35">
      <c r="A34" s="9">
        <v>830</v>
      </c>
      <c r="B34" s="2">
        <v>44562</v>
      </c>
      <c r="C34" s="12" t="s">
        <v>85</v>
      </c>
      <c r="D34" s="12" t="s">
        <v>65</v>
      </c>
      <c r="E34" s="12" t="s">
        <v>78</v>
      </c>
      <c r="F34" s="12" t="s">
        <v>73</v>
      </c>
      <c r="G34" s="12" t="s">
        <v>74</v>
      </c>
      <c r="H34" s="12" t="s">
        <v>80</v>
      </c>
      <c r="I34" s="14">
        <v>50</v>
      </c>
      <c r="J34" s="14">
        <v>150</v>
      </c>
      <c r="K34" s="14">
        <v>23</v>
      </c>
      <c r="L34" s="14">
        <v>53</v>
      </c>
      <c r="M34" s="14">
        <v>180</v>
      </c>
      <c r="N34" s="14">
        <v>55</v>
      </c>
    </row>
    <row r="35" spans="1:14" ht="18" x14ac:dyDescent="0.35">
      <c r="A35" s="9">
        <v>325</v>
      </c>
      <c r="B35" s="2">
        <v>44562</v>
      </c>
      <c r="C35" s="12" t="s">
        <v>83</v>
      </c>
      <c r="D35" s="12" t="s">
        <v>65</v>
      </c>
      <c r="E35" s="12" t="s">
        <v>78</v>
      </c>
      <c r="F35" s="12" t="s">
        <v>73</v>
      </c>
      <c r="G35" s="12" t="s">
        <v>74</v>
      </c>
      <c r="H35" s="12" t="s">
        <v>80</v>
      </c>
      <c r="I35" s="14">
        <v>90</v>
      </c>
      <c r="J35" s="14">
        <v>180</v>
      </c>
      <c r="K35" s="14">
        <v>24</v>
      </c>
      <c r="L35" s="14">
        <v>95</v>
      </c>
      <c r="M35" s="14">
        <v>219</v>
      </c>
      <c r="N35" s="14">
        <v>35</v>
      </c>
    </row>
    <row r="36" spans="1:14" ht="18" x14ac:dyDescent="0.35">
      <c r="A36" s="9">
        <v>661</v>
      </c>
      <c r="B36" s="2">
        <v>44562</v>
      </c>
      <c r="C36" s="12" t="s">
        <v>85</v>
      </c>
      <c r="D36" s="12" t="s">
        <v>65</v>
      </c>
      <c r="E36" s="12" t="s">
        <v>78</v>
      </c>
      <c r="F36" s="12" t="s">
        <v>75</v>
      </c>
      <c r="G36" s="12" t="s">
        <v>76</v>
      </c>
      <c r="H36" s="12" t="s">
        <v>80</v>
      </c>
      <c r="I36" s="14">
        <v>150</v>
      </c>
      <c r="J36" s="14">
        <v>430</v>
      </c>
      <c r="K36" s="14">
        <v>63</v>
      </c>
      <c r="L36" s="14">
        <v>140</v>
      </c>
      <c r="M36" s="14">
        <v>456</v>
      </c>
      <c r="N36" s="14">
        <v>88</v>
      </c>
    </row>
    <row r="37" spans="1:14" ht="18" x14ac:dyDescent="0.35">
      <c r="A37" s="9">
        <v>818</v>
      </c>
      <c r="B37" s="2">
        <v>44562</v>
      </c>
      <c r="C37" s="12" t="s">
        <v>83</v>
      </c>
      <c r="D37" s="12" t="s">
        <v>65</v>
      </c>
      <c r="E37" s="12" t="s">
        <v>78</v>
      </c>
      <c r="F37" s="12" t="s">
        <v>75</v>
      </c>
      <c r="G37" s="12" t="s">
        <v>76</v>
      </c>
      <c r="H37" s="12" t="s">
        <v>80</v>
      </c>
      <c r="I37" s="14">
        <v>20</v>
      </c>
      <c r="J37" s="14">
        <v>240</v>
      </c>
      <c r="K37" s="14">
        <v>95</v>
      </c>
      <c r="L37" s="14">
        <v>17</v>
      </c>
      <c r="M37" s="14">
        <v>250</v>
      </c>
      <c r="N37" s="14">
        <v>128</v>
      </c>
    </row>
    <row r="38" spans="1:14" ht="18" x14ac:dyDescent="0.35">
      <c r="A38" s="9">
        <v>712</v>
      </c>
      <c r="B38" s="2">
        <v>44562</v>
      </c>
      <c r="C38" s="12" t="s">
        <v>64</v>
      </c>
      <c r="D38" s="12" t="s">
        <v>65</v>
      </c>
      <c r="E38" s="12" t="s">
        <v>66</v>
      </c>
      <c r="F38" s="12" t="s">
        <v>12</v>
      </c>
      <c r="G38" s="12" t="s">
        <v>68</v>
      </c>
      <c r="H38" s="12" t="s">
        <v>69</v>
      </c>
      <c r="I38" s="14">
        <v>20</v>
      </c>
      <c r="J38" s="14">
        <v>50</v>
      </c>
      <c r="K38" s="14">
        <v>7</v>
      </c>
      <c r="L38" s="14">
        <v>12</v>
      </c>
      <c r="M38" s="14">
        <v>54</v>
      </c>
      <c r="N38" s="14">
        <v>19</v>
      </c>
    </row>
    <row r="39" spans="1:14" ht="18" x14ac:dyDescent="0.35">
      <c r="A39" s="9">
        <v>573</v>
      </c>
      <c r="B39" s="2">
        <v>44562</v>
      </c>
      <c r="C39" s="12" t="s">
        <v>64</v>
      </c>
      <c r="D39" s="12" t="s">
        <v>65</v>
      </c>
      <c r="E39" s="12" t="s">
        <v>66</v>
      </c>
      <c r="F39" s="12" t="s">
        <v>86</v>
      </c>
      <c r="G39" s="12" t="s">
        <v>68</v>
      </c>
      <c r="H39" s="12" t="s">
        <v>69</v>
      </c>
      <c r="I39" s="14">
        <v>50</v>
      </c>
      <c r="J39" s="14">
        <v>170</v>
      </c>
      <c r="K39" s="14">
        <v>24</v>
      </c>
      <c r="L39" s="14">
        <v>47</v>
      </c>
      <c r="M39" s="14">
        <v>170</v>
      </c>
      <c r="N39" s="14">
        <v>45</v>
      </c>
    </row>
    <row r="40" spans="1:14" ht="18" x14ac:dyDescent="0.35">
      <c r="A40" s="9">
        <v>414</v>
      </c>
      <c r="B40" s="2">
        <v>44562</v>
      </c>
      <c r="C40" s="12" t="s">
        <v>64</v>
      </c>
      <c r="D40" s="12" t="s">
        <v>65</v>
      </c>
      <c r="E40" s="12" t="s">
        <v>66</v>
      </c>
      <c r="F40" s="12" t="s">
        <v>87</v>
      </c>
      <c r="G40" s="12" t="s">
        <v>68</v>
      </c>
      <c r="H40" s="12" t="s">
        <v>69</v>
      </c>
      <c r="I40" s="14">
        <v>60</v>
      </c>
      <c r="J40" s="14">
        <v>180</v>
      </c>
      <c r="K40" s="14">
        <v>25</v>
      </c>
      <c r="L40" s="14">
        <v>51</v>
      </c>
      <c r="M40" s="14">
        <v>180</v>
      </c>
      <c r="N40" s="14">
        <v>52</v>
      </c>
    </row>
    <row r="41" spans="1:14" ht="18" x14ac:dyDescent="0.35">
      <c r="A41" s="9">
        <v>985</v>
      </c>
      <c r="B41" s="2">
        <v>44562</v>
      </c>
      <c r="C41" s="12" t="s">
        <v>64</v>
      </c>
      <c r="D41" s="12" t="s">
        <v>65</v>
      </c>
      <c r="E41" s="12" t="s">
        <v>66</v>
      </c>
      <c r="F41" s="12" t="s">
        <v>88</v>
      </c>
      <c r="G41" s="12" t="s">
        <v>74</v>
      </c>
      <c r="H41" s="12" t="s">
        <v>69</v>
      </c>
      <c r="I41" s="14">
        <v>50</v>
      </c>
      <c r="J41" s="14">
        <v>100</v>
      </c>
      <c r="K41" s="14">
        <v>9</v>
      </c>
      <c r="L41" s="14">
        <v>28</v>
      </c>
      <c r="M41" s="14">
        <v>81</v>
      </c>
      <c r="N41" s="14">
        <v>20</v>
      </c>
    </row>
    <row r="42" spans="1:14" ht="18" x14ac:dyDescent="0.35">
      <c r="A42" s="9">
        <v>505</v>
      </c>
      <c r="B42" s="2">
        <v>44562</v>
      </c>
      <c r="C42" s="12" t="s">
        <v>64</v>
      </c>
      <c r="D42" s="12" t="s">
        <v>65</v>
      </c>
      <c r="E42" s="12" t="s">
        <v>66</v>
      </c>
      <c r="F42" s="12" t="s">
        <v>24</v>
      </c>
      <c r="G42" s="12" t="s">
        <v>74</v>
      </c>
      <c r="H42" s="12" t="s">
        <v>69</v>
      </c>
      <c r="I42" s="14">
        <v>-30</v>
      </c>
      <c r="J42" s="14">
        <v>120</v>
      </c>
      <c r="K42" s="14">
        <v>27</v>
      </c>
      <c r="L42" s="14">
        <v>-39</v>
      </c>
      <c r="M42" s="14">
        <v>99</v>
      </c>
      <c r="N42" s="14">
        <v>50</v>
      </c>
    </row>
    <row r="43" spans="1:14" ht="18" x14ac:dyDescent="0.35">
      <c r="A43" s="9">
        <v>580</v>
      </c>
      <c r="B43" s="2">
        <v>44562</v>
      </c>
      <c r="C43" s="12" t="s">
        <v>64</v>
      </c>
      <c r="D43" s="12" t="s">
        <v>65</v>
      </c>
      <c r="E43" s="12" t="s">
        <v>66</v>
      </c>
      <c r="F43" s="12" t="s">
        <v>89</v>
      </c>
      <c r="G43" s="12" t="s">
        <v>74</v>
      </c>
      <c r="H43" s="12" t="s">
        <v>69</v>
      </c>
      <c r="I43" s="14">
        <v>50</v>
      </c>
      <c r="J43" s="14">
        <v>100</v>
      </c>
      <c r="K43" s="14">
        <v>8</v>
      </c>
      <c r="L43" s="14">
        <v>28</v>
      </c>
      <c r="M43" s="14">
        <v>80</v>
      </c>
      <c r="N43" s="14">
        <v>20</v>
      </c>
    </row>
    <row r="44" spans="1:14" ht="18" x14ac:dyDescent="0.35">
      <c r="A44" s="9">
        <v>775</v>
      </c>
      <c r="B44" s="2">
        <v>44562</v>
      </c>
      <c r="C44" s="12" t="s">
        <v>64</v>
      </c>
      <c r="D44" s="12" t="s">
        <v>65</v>
      </c>
      <c r="E44" s="12" t="s">
        <v>66</v>
      </c>
      <c r="F44" s="12" t="s">
        <v>15</v>
      </c>
      <c r="G44" s="12" t="s">
        <v>76</v>
      </c>
      <c r="H44" s="12" t="s">
        <v>69</v>
      </c>
      <c r="I44" s="14">
        <v>20</v>
      </c>
      <c r="J44" s="14">
        <v>70</v>
      </c>
      <c r="K44" s="14">
        <v>8</v>
      </c>
      <c r="L44" s="14">
        <v>4</v>
      </c>
      <c r="M44" s="14">
        <v>62</v>
      </c>
      <c r="N44" s="14">
        <v>30</v>
      </c>
    </row>
    <row r="45" spans="1:14" ht="18" x14ac:dyDescent="0.35">
      <c r="A45" s="9">
        <v>971</v>
      </c>
      <c r="B45" s="2">
        <v>44562</v>
      </c>
      <c r="C45" s="12" t="s">
        <v>64</v>
      </c>
      <c r="D45" s="12" t="s">
        <v>65</v>
      </c>
      <c r="E45" s="12" t="s">
        <v>66</v>
      </c>
      <c r="F45" s="12" t="s">
        <v>90</v>
      </c>
      <c r="G45" s="12" t="s">
        <v>76</v>
      </c>
      <c r="H45" s="12" t="s">
        <v>69</v>
      </c>
      <c r="I45" s="14">
        <v>70</v>
      </c>
      <c r="J45" s="14">
        <v>170</v>
      </c>
      <c r="K45" s="14">
        <v>18</v>
      </c>
      <c r="L45" s="14">
        <v>42</v>
      </c>
      <c r="M45" s="14">
        <v>140</v>
      </c>
      <c r="N45" s="14">
        <v>41</v>
      </c>
    </row>
    <row r="46" spans="1:14" ht="18" x14ac:dyDescent="0.35">
      <c r="A46" s="9">
        <v>801</v>
      </c>
      <c r="B46" s="2">
        <v>44562</v>
      </c>
      <c r="C46" s="12" t="s">
        <v>64</v>
      </c>
      <c r="D46" s="12" t="s">
        <v>65</v>
      </c>
      <c r="E46" s="12" t="s">
        <v>66</v>
      </c>
      <c r="F46" s="12" t="s">
        <v>91</v>
      </c>
      <c r="G46" s="12" t="s">
        <v>76</v>
      </c>
      <c r="H46" s="12" t="s">
        <v>69</v>
      </c>
      <c r="I46" s="14">
        <v>70</v>
      </c>
      <c r="J46" s="14">
        <v>230</v>
      </c>
      <c r="K46" s="14">
        <v>32</v>
      </c>
      <c r="L46" s="14">
        <v>39</v>
      </c>
      <c r="M46" s="14">
        <v>190</v>
      </c>
      <c r="N46" s="14">
        <v>66</v>
      </c>
    </row>
    <row r="47" spans="1:14" ht="18" x14ac:dyDescent="0.35">
      <c r="A47" s="9">
        <v>509</v>
      </c>
      <c r="B47" s="2">
        <v>44562</v>
      </c>
      <c r="C47" s="12" t="s">
        <v>64</v>
      </c>
      <c r="D47" s="12" t="s">
        <v>65</v>
      </c>
      <c r="E47" s="12" t="s">
        <v>66</v>
      </c>
      <c r="F47" s="12" t="s">
        <v>92</v>
      </c>
      <c r="G47" s="12" t="s">
        <v>76</v>
      </c>
      <c r="H47" s="12" t="s">
        <v>69</v>
      </c>
      <c r="I47" s="14">
        <v>60</v>
      </c>
      <c r="J47" s="14">
        <v>230</v>
      </c>
      <c r="K47" s="14">
        <v>72</v>
      </c>
      <c r="L47" s="14">
        <v>9</v>
      </c>
      <c r="M47" s="14">
        <v>190</v>
      </c>
      <c r="N47" s="14">
        <v>102</v>
      </c>
    </row>
    <row r="48" spans="1:14" ht="18" x14ac:dyDescent="0.35">
      <c r="A48" s="9">
        <v>563</v>
      </c>
      <c r="B48" s="2">
        <v>44562</v>
      </c>
      <c r="C48" s="12" t="s">
        <v>77</v>
      </c>
      <c r="D48" s="12" t="s">
        <v>65</v>
      </c>
      <c r="E48" s="12" t="s">
        <v>78</v>
      </c>
      <c r="F48" s="12" t="s">
        <v>12</v>
      </c>
      <c r="G48" s="12" t="s">
        <v>68</v>
      </c>
      <c r="H48" s="12" t="s">
        <v>69</v>
      </c>
      <c r="I48" s="14">
        <v>30</v>
      </c>
      <c r="J48" s="14">
        <v>50</v>
      </c>
      <c r="K48" s="14">
        <v>4</v>
      </c>
      <c r="L48" s="14">
        <v>10</v>
      </c>
      <c r="M48" s="14">
        <v>43</v>
      </c>
      <c r="N48" s="14">
        <v>16</v>
      </c>
    </row>
    <row r="49" spans="1:14" ht="18" x14ac:dyDescent="0.35">
      <c r="A49" s="9">
        <v>660</v>
      </c>
      <c r="B49" s="2">
        <v>44562</v>
      </c>
      <c r="C49" s="12" t="s">
        <v>77</v>
      </c>
      <c r="D49" s="12" t="s">
        <v>65</v>
      </c>
      <c r="E49" s="12" t="s">
        <v>78</v>
      </c>
      <c r="F49" s="12" t="s">
        <v>86</v>
      </c>
      <c r="G49" s="12" t="s">
        <v>68</v>
      </c>
      <c r="H49" s="12" t="s">
        <v>69</v>
      </c>
      <c r="I49" s="14">
        <v>60</v>
      </c>
      <c r="J49" s="14">
        <v>130</v>
      </c>
      <c r="K49" s="14">
        <v>12</v>
      </c>
      <c r="L49" s="14">
        <v>45</v>
      </c>
      <c r="M49" s="14">
        <v>114</v>
      </c>
      <c r="N49" s="14">
        <v>23</v>
      </c>
    </row>
    <row r="50" spans="1:14" ht="18" x14ac:dyDescent="0.35">
      <c r="A50" s="9">
        <v>262</v>
      </c>
      <c r="B50" s="2">
        <v>44562</v>
      </c>
      <c r="C50" s="12" t="s">
        <v>77</v>
      </c>
      <c r="D50" s="12" t="s">
        <v>65</v>
      </c>
      <c r="E50" s="12" t="s">
        <v>78</v>
      </c>
      <c r="F50" s="12" t="s">
        <v>87</v>
      </c>
      <c r="G50" s="12" t="s">
        <v>68</v>
      </c>
      <c r="H50" s="12" t="s">
        <v>69</v>
      </c>
      <c r="I50" s="14">
        <v>50</v>
      </c>
      <c r="J50" s="14">
        <v>120</v>
      </c>
      <c r="K50" s="14">
        <v>15</v>
      </c>
      <c r="L50" s="14">
        <v>34</v>
      </c>
      <c r="M50" s="14">
        <v>110</v>
      </c>
      <c r="N50" s="14">
        <v>28</v>
      </c>
    </row>
    <row r="51" spans="1:14" ht="18" x14ac:dyDescent="0.35">
      <c r="A51" s="9">
        <v>475</v>
      </c>
      <c r="B51" s="2">
        <v>44562</v>
      </c>
      <c r="C51" s="12" t="s">
        <v>77</v>
      </c>
      <c r="D51" s="12" t="s">
        <v>65</v>
      </c>
      <c r="E51" s="12" t="s">
        <v>78</v>
      </c>
      <c r="F51" s="12" t="s">
        <v>93</v>
      </c>
      <c r="G51" s="12" t="s">
        <v>72</v>
      </c>
      <c r="H51" s="12" t="s">
        <v>69</v>
      </c>
      <c r="I51" s="14">
        <v>40</v>
      </c>
      <c r="J51" s="14">
        <v>120</v>
      </c>
      <c r="K51" s="14">
        <v>18</v>
      </c>
      <c r="L51" s="14">
        <v>30</v>
      </c>
      <c r="M51" s="14">
        <v>130</v>
      </c>
      <c r="N51" s="14">
        <v>45</v>
      </c>
    </row>
    <row r="52" spans="1:14" ht="18" x14ac:dyDescent="0.35">
      <c r="A52" s="9">
        <v>337</v>
      </c>
      <c r="B52" s="2">
        <v>44562</v>
      </c>
      <c r="C52" s="12" t="s">
        <v>77</v>
      </c>
      <c r="D52" s="12" t="s">
        <v>65</v>
      </c>
      <c r="E52" s="12" t="s">
        <v>78</v>
      </c>
      <c r="F52" s="12" t="s">
        <v>88</v>
      </c>
      <c r="G52" s="12" t="s">
        <v>74</v>
      </c>
      <c r="H52" s="12" t="s">
        <v>69</v>
      </c>
      <c r="I52" s="14">
        <v>50</v>
      </c>
      <c r="J52" s="14">
        <v>120</v>
      </c>
      <c r="K52" s="14">
        <v>19</v>
      </c>
      <c r="L52" s="14">
        <v>48</v>
      </c>
      <c r="M52" s="14">
        <v>150</v>
      </c>
      <c r="N52" s="14">
        <v>41</v>
      </c>
    </row>
    <row r="53" spans="1:14" ht="18" x14ac:dyDescent="0.35">
      <c r="A53" s="9">
        <v>505</v>
      </c>
      <c r="B53" s="2">
        <v>44562</v>
      </c>
      <c r="C53" s="12" t="s">
        <v>77</v>
      </c>
      <c r="D53" s="12" t="s">
        <v>65</v>
      </c>
      <c r="E53" s="12" t="s">
        <v>78</v>
      </c>
      <c r="F53" s="12" t="s">
        <v>24</v>
      </c>
      <c r="G53" s="12" t="s">
        <v>74</v>
      </c>
      <c r="H53" s="12" t="s">
        <v>69</v>
      </c>
      <c r="I53" s="14">
        <v>10</v>
      </c>
      <c r="J53" s="14">
        <v>70</v>
      </c>
      <c r="K53" s="14">
        <v>11</v>
      </c>
      <c r="L53" s="14">
        <v>9</v>
      </c>
      <c r="M53" s="14">
        <v>82</v>
      </c>
      <c r="N53" s="14">
        <v>38</v>
      </c>
    </row>
    <row r="54" spans="1:14" ht="18" x14ac:dyDescent="0.35">
      <c r="A54" s="9">
        <v>405</v>
      </c>
      <c r="B54" s="2">
        <v>44562</v>
      </c>
      <c r="C54" s="12" t="s">
        <v>77</v>
      </c>
      <c r="D54" s="12" t="s">
        <v>65</v>
      </c>
      <c r="E54" s="12" t="s">
        <v>78</v>
      </c>
      <c r="F54" s="12" t="s">
        <v>89</v>
      </c>
      <c r="G54" s="12" t="s">
        <v>74</v>
      </c>
      <c r="H54" s="12" t="s">
        <v>69</v>
      </c>
      <c r="I54" s="14">
        <v>70</v>
      </c>
      <c r="J54" s="14">
        <v>180</v>
      </c>
      <c r="K54" s="14">
        <v>27</v>
      </c>
      <c r="L54" s="14">
        <v>67</v>
      </c>
      <c r="M54" s="14">
        <v>210</v>
      </c>
      <c r="N54" s="14">
        <v>59</v>
      </c>
    </row>
    <row r="55" spans="1:14" ht="18" x14ac:dyDescent="0.35">
      <c r="A55" s="9">
        <v>775</v>
      </c>
      <c r="B55" s="2">
        <v>44562</v>
      </c>
      <c r="C55" s="12" t="s">
        <v>77</v>
      </c>
      <c r="D55" s="12" t="s">
        <v>65</v>
      </c>
      <c r="E55" s="12" t="s">
        <v>78</v>
      </c>
      <c r="F55" s="12" t="s">
        <v>15</v>
      </c>
      <c r="G55" s="12" t="s">
        <v>76</v>
      </c>
      <c r="H55" s="12" t="s">
        <v>69</v>
      </c>
      <c r="I55" s="14">
        <v>20</v>
      </c>
      <c r="J55" s="14">
        <v>40</v>
      </c>
      <c r="K55" s="14">
        <v>4</v>
      </c>
      <c r="L55" s="14">
        <v>11</v>
      </c>
      <c r="M55" s="14">
        <v>43</v>
      </c>
      <c r="N55" s="14">
        <v>15</v>
      </c>
    </row>
    <row r="56" spans="1:14" ht="18" x14ac:dyDescent="0.35">
      <c r="A56" s="9">
        <v>971</v>
      </c>
      <c r="B56" s="2">
        <v>44562</v>
      </c>
      <c r="C56" s="12" t="s">
        <v>77</v>
      </c>
      <c r="D56" s="12" t="s">
        <v>65</v>
      </c>
      <c r="E56" s="12" t="s">
        <v>78</v>
      </c>
      <c r="F56" s="12" t="s">
        <v>90</v>
      </c>
      <c r="G56" s="12" t="s">
        <v>76</v>
      </c>
      <c r="H56" s="12" t="s">
        <v>69</v>
      </c>
      <c r="I56" s="14">
        <v>100</v>
      </c>
      <c r="J56" s="14">
        <v>320</v>
      </c>
      <c r="K56" s="14">
        <v>47</v>
      </c>
      <c r="L56" s="14">
        <v>99</v>
      </c>
      <c r="M56" s="14">
        <v>341</v>
      </c>
      <c r="N56" s="14">
        <v>72</v>
      </c>
    </row>
    <row r="57" spans="1:14" ht="18" x14ac:dyDescent="0.35">
      <c r="A57" s="9">
        <v>435</v>
      </c>
      <c r="B57" s="2">
        <v>44562</v>
      </c>
      <c r="C57" s="12" t="s">
        <v>77</v>
      </c>
      <c r="D57" s="12" t="s">
        <v>65</v>
      </c>
      <c r="E57" s="12" t="s">
        <v>78</v>
      </c>
      <c r="F57" s="12" t="s">
        <v>91</v>
      </c>
      <c r="G57" s="12" t="s">
        <v>76</v>
      </c>
      <c r="H57" s="12" t="s">
        <v>69</v>
      </c>
      <c r="I57" s="14">
        <v>50</v>
      </c>
      <c r="J57" s="14">
        <v>110</v>
      </c>
      <c r="K57" s="14">
        <v>14</v>
      </c>
      <c r="L57" s="14">
        <v>47</v>
      </c>
      <c r="M57" s="14">
        <v>123</v>
      </c>
      <c r="N57" s="14">
        <v>26</v>
      </c>
    </row>
    <row r="58" spans="1:14" ht="18" x14ac:dyDescent="0.35">
      <c r="A58" s="9">
        <v>206</v>
      </c>
      <c r="B58" s="2">
        <v>44562</v>
      </c>
      <c r="C58" s="12" t="s">
        <v>77</v>
      </c>
      <c r="D58" s="12" t="s">
        <v>65</v>
      </c>
      <c r="E58" s="12" t="s">
        <v>78</v>
      </c>
      <c r="F58" s="12" t="s">
        <v>92</v>
      </c>
      <c r="G58" s="12" t="s">
        <v>76</v>
      </c>
      <c r="H58" s="12" t="s">
        <v>69</v>
      </c>
      <c r="I58" s="14">
        <v>60</v>
      </c>
      <c r="J58" s="14">
        <v>140</v>
      </c>
      <c r="K58" s="14">
        <v>21</v>
      </c>
      <c r="L58" s="14">
        <v>39</v>
      </c>
      <c r="M58" s="14">
        <v>150</v>
      </c>
      <c r="N58" s="14">
        <v>42</v>
      </c>
    </row>
    <row r="59" spans="1:14" ht="18" x14ac:dyDescent="0.35">
      <c r="A59" s="9">
        <v>319</v>
      </c>
      <c r="B59" s="2">
        <v>44562</v>
      </c>
      <c r="C59" s="12" t="s">
        <v>79</v>
      </c>
      <c r="D59" s="12" t="s">
        <v>65</v>
      </c>
      <c r="E59" s="12" t="s">
        <v>66</v>
      </c>
      <c r="F59" s="12" t="s">
        <v>12</v>
      </c>
      <c r="G59" s="12" t="s">
        <v>68</v>
      </c>
      <c r="H59" s="12" t="s">
        <v>80</v>
      </c>
      <c r="I59" s="14">
        <v>20</v>
      </c>
      <c r="J59" s="14">
        <v>40</v>
      </c>
      <c r="K59" s="14">
        <v>5</v>
      </c>
      <c r="L59" s="14">
        <v>11</v>
      </c>
      <c r="M59" s="14">
        <v>45</v>
      </c>
      <c r="N59" s="14">
        <v>16</v>
      </c>
    </row>
    <row r="60" spans="1:14" ht="18" x14ac:dyDescent="0.35">
      <c r="A60" s="9">
        <v>262</v>
      </c>
      <c r="B60" s="2">
        <v>44562</v>
      </c>
      <c r="C60" s="12" t="s">
        <v>79</v>
      </c>
      <c r="D60" s="12" t="s">
        <v>65</v>
      </c>
      <c r="E60" s="12" t="s">
        <v>66</v>
      </c>
      <c r="F60" s="12" t="s">
        <v>87</v>
      </c>
      <c r="G60" s="12" t="s">
        <v>68</v>
      </c>
      <c r="H60" s="12" t="s">
        <v>80</v>
      </c>
      <c r="I60" s="14">
        <v>30</v>
      </c>
      <c r="J60" s="14">
        <v>120</v>
      </c>
      <c r="K60" s="14">
        <v>20</v>
      </c>
      <c r="L60" s="14">
        <v>13</v>
      </c>
      <c r="M60" s="14">
        <v>120</v>
      </c>
      <c r="N60" s="14">
        <v>53</v>
      </c>
    </row>
    <row r="61" spans="1:14" ht="18" x14ac:dyDescent="0.35">
      <c r="A61" s="9">
        <v>641</v>
      </c>
      <c r="B61" s="2">
        <v>44562</v>
      </c>
      <c r="C61" s="12" t="s">
        <v>81</v>
      </c>
      <c r="D61" s="12" t="s">
        <v>65</v>
      </c>
      <c r="E61" s="12" t="s">
        <v>66</v>
      </c>
      <c r="F61" s="12" t="s">
        <v>12</v>
      </c>
      <c r="G61" s="12" t="s">
        <v>68</v>
      </c>
      <c r="H61" s="12" t="s">
        <v>80</v>
      </c>
      <c r="I61" s="14">
        <v>20</v>
      </c>
      <c r="J61" s="14">
        <v>60</v>
      </c>
      <c r="K61" s="14">
        <v>8</v>
      </c>
      <c r="L61" s="14">
        <v>5</v>
      </c>
      <c r="M61" s="14">
        <v>62</v>
      </c>
      <c r="N61" s="14">
        <v>29</v>
      </c>
    </row>
    <row r="62" spans="1:14" ht="18" x14ac:dyDescent="0.35">
      <c r="A62" s="9">
        <v>636</v>
      </c>
      <c r="B62" s="2">
        <v>44562</v>
      </c>
      <c r="C62" s="12" t="s">
        <v>81</v>
      </c>
      <c r="D62" s="12" t="s">
        <v>65</v>
      </c>
      <c r="E62" s="12" t="s">
        <v>66</v>
      </c>
      <c r="F62" s="12" t="s">
        <v>86</v>
      </c>
      <c r="G62" s="12" t="s">
        <v>68</v>
      </c>
      <c r="H62" s="12" t="s">
        <v>80</v>
      </c>
      <c r="I62" s="14">
        <v>40</v>
      </c>
      <c r="J62" s="14">
        <v>190</v>
      </c>
      <c r="K62" s="14">
        <v>32</v>
      </c>
      <c r="L62" s="14">
        <v>39</v>
      </c>
      <c r="M62" s="14">
        <v>190</v>
      </c>
      <c r="N62" s="14">
        <v>66</v>
      </c>
    </row>
    <row r="63" spans="1:14" ht="18" x14ac:dyDescent="0.35">
      <c r="A63" s="9">
        <v>262</v>
      </c>
      <c r="B63" s="2">
        <v>44562</v>
      </c>
      <c r="C63" s="12" t="s">
        <v>81</v>
      </c>
      <c r="D63" s="12" t="s">
        <v>65</v>
      </c>
      <c r="E63" s="12" t="s">
        <v>66</v>
      </c>
      <c r="F63" s="12" t="s">
        <v>87</v>
      </c>
      <c r="G63" s="12" t="s">
        <v>68</v>
      </c>
      <c r="H63" s="12" t="s">
        <v>80</v>
      </c>
      <c r="I63" s="14">
        <v>20</v>
      </c>
      <c r="J63" s="14">
        <v>190</v>
      </c>
      <c r="K63" s="14">
        <v>72</v>
      </c>
      <c r="L63" s="14">
        <v>9</v>
      </c>
      <c r="M63" s="14">
        <v>190</v>
      </c>
      <c r="N63" s="14">
        <v>102</v>
      </c>
    </row>
    <row r="64" spans="1:14" ht="18" x14ac:dyDescent="0.35">
      <c r="A64" s="9">
        <v>603</v>
      </c>
      <c r="B64" s="2">
        <v>44562</v>
      </c>
      <c r="C64" s="12" t="s">
        <v>79</v>
      </c>
      <c r="D64" s="12" t="s">
        <v>65</v>
      </c>
      <c r="E64" s="12" t="s">
        <v>66</v>
      </c>
      <c r="F64" s="12" t="s">
        <v>18</v>
      </c>
      <c r="G64" s="12" t="s">
        <v>72</v>
      </c>
      <c r="H64" s="12" t="s">
        <v>80</v>
      </c>
      <c r="I64" s="14">
        <v>30</v>
      </c>
      <c r="J64" s="14">
        <v>80</v>
      </c>
      <c r="K64" s="14">
        <v>12</v>
      </c>
      <c r="L64" s="14">
        <v>20</v>
      </c>
      <c r="M64" s="14">
        <v>93</v>
      </c>
      <c r="N64" s="14">
        <v>35</v>
      </c>
    </row>
    <row r="65" spans="1:14" ht="18" x14ac:dyDescent="0.35">
      <c r="A65" s="9">
        <v>475</v>
      </c>
      <c r="B65" s="2">
        <v>44562</v>
      </c>
      <c r="C65" s="12" t="s">
        <v>81</v>
      </c>
      <c r="D65" s="12" t="s">
        <v>65</v>
      </c>
      <c r="E65" s="12" t="s">
        <v>66</v>
      </c>
      <c r="F65" s="12" t="s">
        <v>93</v>
      </c>
      <c r="G65" s="12" t="s">
        <v>72</v>
      </c>
      <c r="H65" s="12" t="s">
        <v>80</v>
      </c>
      <c r="I65" s="14">
        <v>130</v>
      </c>
      <c r="J65" s="14">
        <v>290</v>
      </c>
      <c r="K65" s="14">
        <v>40</v>
      </c>
      <c r="L65" s="14">
        <v>115</v>
      </c>
      <c r="M65" s="14">
        <v>310</v>
      </c>
      <c r="N65" s="14">
        <v>71</v>
      </c>
    </row>
    <row r="66" spans="1:14" ht="18" x14ac:dyDescent="0.35">
      <c r="A66" s="9">
        <v>603</v>
      </c>
      <c r="B66" s="2">
        <v>44562</v>
      </c>
      <c r="C66" s="12" t="s">
        <v>81</v>
      </c>
      <c r="D66" s="12" t="s">
        <v>65</v>
      </c>
      <c r="E66" s="12" t="s">
        <v>66</v>
      </c>
      <c r="F66" s="12" t="s">
        <v>18</v>
      </c>
      <c r="G66" s="12" t="s">
        <v>72</v>
      </c>
      <c r="H66" s="12" t="s">
        <v>80</v>
      </c>
      <c r="I66" s="14">
        <v>40</v>
      </c>
      <c r="J66" s="14">
        <v>110</v>
      </c>
      <c r="K66" s="14">
        <v>15</v>
      </c>
      <c r="L66" s="14">
        <v>25</v>
      </c>
      <c r="M66" s="14">
        <v>120</v>
      </c>
      <c r="N66" s="14">
        <v>47</v>
      </c>
    </row>
    <row r="67" spans="1:14" ht="18" x14ac:dyDescent="0.35">
      <c r="A67" s="9">
        <v>225</v>
      </c>
      <c r="B67" s="2">
        <v>44562</v>
      </c>
      <c r="C67" s="12" t="s">
        <v>81</v>
      </c>
      <c r="D67" s="12" t="s">
        <v>65</v>
      </c>
      <c r="E67" s="12" t="s">
        <v>66</v>
      </c>
      <c r="F67" s="12" t="s">
        <v>88</v>
      </c>
      <c r="G67" s="12" t="s">
        <v>74</v>
      </c>
      <c r="H67" s="12" t="s">
        <v>80</v>
      </c>
      <c r="I67" s="14">
        <v>50</v>
      </c>
      <c r="J67" s="14">
        <v>100</v>
      </c>
      <c r="K67" s="14">
        <v>9</v>
      </c>
      <c r="L67" s="14">
        <v>30</v>
      </c>
      <c r="M67" s="14">
        <v>85</v>
      </c>
      <c r="N67" s="14">
        <v>21</v>
      </c>
    </row>
    <row r="68" spans="1:14" ht="18" x14ac:dyDescent="0.35">
      <c r="A68" s="9">
        <v>505</v>
      </c>
      <c r="B68" s="2">
        <v>44562</v>
      </c>
      <c r="C68" s="12" t="s">
        <v>81</v>
      </c>
      <c r="D68" s="12" t="s">
        <v>65</v>
      </c>
      <c r="E68" s="12" t="s">
        <v>66</v>
      </c>
      <c r="F68" s="12" t="s">
        <v>24</v>
      </c>
      <c r="G68" s="12" t="s">
        <v>74</v>
      </c>
      <c r="H68" s="12" t="s">
        <v>80</v>
      </c>
      <c r="I68" s="14">
        <v>50</v>
      </c>
      <c r="J68" s="14">
        <v>150</v>
      </c>
      <c r="K68" s="14">
        <v>15</v>
      </c>
      <c r="L68" s="14">
        <v>26</v>
      </c>
      <c r="M68" s="14">
        <v>120</v>
      </c>
      <c r="N68" s="14">
        <v>46</v>
      </c>
    </row>
    <row r="69" spans="1:14" ht="18" x14ac:dyDescent="0.35">
      <c r="A69" s="9">
        <v>580</v>
      </c>
      <c r="B69" s="2">
        <v>44562</v>
      </c>
      <c r="C69" s="12" t="s">
        <v>81</v>
      </c>
      <c r="D69" s="12" t="s">
        <v>65</v>
      </c>
      <c r="E69" s="12" t="s">
        <v>66</v>
      </c>
      <c r="F69" s="12" t="s">
        <v>89</v>
      </c>
      <c r="G69" s="12" t="s">
        <v>74</v>
      </c>
      <c r="H69" s="12" t="s">
        <v>80</v>
      </c>
      <c r="I69" s="14">
        <v>50</v>
      </c>
      <c r="J69" s="14">
        <v>120</v>
      </c>
      <c r="K69" s="14">
        <v>14</v>
      </c>
      <c r="L69" s="14">
        <v>29</v>
      </c>
      <c r="M69" s="14">
        <v>100</v>
      </c>
      <c r="N69" s="14">
        <v>27</v>
      </c>
    </row>
    <row r="70" spans="1:14" ht="18" x14ac:dyDescent="0.35">
      <c r="A70" s="9">
        <v>541</v>
      </c>
      <c r="B70" s="2">
        <v>44562</v>
      </c>
      <c r="C70" s="12" t="s">
        <v>79</v>
      </c>
      <c r="D70" s="12" t="s">
        <v>65</v>
      </c>
      <c r="E70" s="12" t="s">
        <v>66</v>
      </c>
      <c r="F70" s="12" t="s">
        <v>90</v>
      </c>
      <c r="G70" s="12" t="s">
        <v>76</v>
      </c>
      <c r="H70" s="12" t="s">
        <v>80</v>
      </c>
      <c r="I70" s="14">
        <v>40</v>
      </c>
      <c r="J70" s="14">
        <v>180</v>
      </c>
      <c r="K70" s="14">
        <v>57</v>
      </c>
      <c r="L70" s="14">
        <v>1</v>
      </c>
      <c r="M70" s="14">
        <v>150</v>
      </c>
      <c r="N70" s="14">
        <v>86</v>
      </c>
    </row>
    <row r="71" spans="1:14" ht="18" x14ac:dyDescent="0.35">
      <c r="A71" s="9">
        <v>801</v>
      </c>
      <c r="B71" s="2">
        <v>44562</v>
      </c>
      <c r="C71" s="12" t="s">
        <v>79</v>
      </c>
      <c r="D71" s="12" t="s">
        <v>65</v>
      </c>
      <c r="E71" s="12" t="s">
        <v>66</v>
      </c>
      <c r="F71" s="12" t="s">
        <v>91</v>
      </c>
      <c r="G71" s="12" t="s">
        <v>76</v>
      </c>
      <c r="H71" s="12" t="s">
        <v>80</v>
      </c>
      <c r="I71" s="14">
        <v>80</v>
      </c>
      <c r="J71" s="14">
        <v>210</v>
      </c>
      <c r="K71" s="14">
        <v>24</v>
      </c>
      <c r="L71" s="14">
        <v>47</v>
      </c>
      <c r="M71" s="14">
        <v>170</v>
      </c>
      <c r="N71" s="14">
        <v>45</v>
      </c>
    </row>
    <row r="72" spans="1:14" ht="18" x14ac:dyDescent="0.35">
      <c r="A72" s="9">
        <v>702</v>
      </c>
      <c r="B72" s="2">
        <v>44562</v>
      </c>
      <c r="C72" s="12" t="s">
        <v>81</v>
      </c>
      <c r="D72" s="12" t="s">
        <v>65</v>
      </c>
      <c r="E72" s="12" t="s">
        <v>66</v>
      </c>
      <c r="F72" s="12" t="s">
        <v>15</v>
      </c>
      <c r="G72" s="12" t="s">
        <v>76</v>
      </c>
      <c r="H72" s="12" t="s">
        <v>80</v>
      </c>
      <c r="I72" s="14">
        <v>10</v>
      </c>
      <c r="J72" s="14">
        <v>90</v>
      </c>
      <c r="K72" s="14">
        <v>12</v>
      </c>
      <c r="L72" s="14">
        <v>-3</v>
      </c>
      <c r="M72" s="14">
        <v>76</v>
      </c>
      <c r="N72" s="14">
        <v>45</v>
      </c>
    </row>
    <row r="73" spans="1:14" ht="18" x14ac:dyDescent="0.35">
      <c r="A73" s="9">
        <v>503</v>
      </c>
      <c r="B73" s="2">
        <v>44562</v>
      </c>
      <c r="C73" s="12" t="s">
        <v>81</v>
      </c>
      <c r="D73" s="12" t="s">
        <v>65</v>
      </c>
      <c r="E73" s="12" t="s">
        <v>66</v>
      </c>
      <c r="F73" s="12" t="s">
        <v>90</v>
      </c>
      <c r="G73" s="12" t="s">
        <v>76</v>
      </c>
      <c r="H73" s="12" t="s">
        <v>80</v>
      </c>
      <c r="I73" s="14">
        <v>60</v>
      </c>
      <c r="J73" s="14">
        <v>200</v>
      </c>
      <c r="K73" s="14">
        <v>22</v>
      </c>
      <c r="L73" s="14">
        <v>28</v>
      </c>
      <c r="M73" s="14">
        <v>160</v>
      </c>
      <c r="N73" s="14">
        <v>65</v>
      </c>
    </row>
    <row r="74" spans="1:14" ht="18" x14ac:dyDescent="0.35">
      <c r="A74" s="9">
        <v>435</v>
      </c>
      <c r="B74" s="2">
        <v>44562</v>
      </c>
      <c r="C74" s="12" t="s">
        <v>81</v>
      </c>
      <c r="D74" s="12" t="s">
        <v>65</v>
      </c>
      <c r="E74" s="12" t="s">
        <v>66</v>
      </c>
      <c r="F74" s="12" t="s">
        <v>91</v>
      </c>
      <c r="G74" s="12" t="s">
        <v>76</v>
      </c>
      <c r="H74" s="12" t="s">
        <v>80</v>
      </c>
      <c r="I74" s="14">
        <v>70</v>
      </c>
      <c r="J74" s="14">
        <v>160</v>
      </c>
      <c r="K74" s="14">
        <v>18</v>
      </c>
      <c r="L74" s="14">
        <v>30</v>
      </c>
      <c r="M74" s="14">
        <v>130</v>
      </c>
      <c r="N74" s="14">
        <v>45</v>
      </c>
    </row>
    <row r="75" spans="1:14" ht="18" x14ac:dyDescent="0.35">
      <c r="A75" s="9">
        <v>206</v>
      </c>
      <c r="B75" s="2">
        <v>44562</v>
      </c>
      <c r="C75" s="12" t="s">
        <v>81</v>
      </c>
      <c r="D75" s="12" t="s">
        <v>65</v>
      </c>
      <c r="E75" s="12" t="s">
        <v>66</v>
      </c>
      <c r="F75" s="12" t="s">
        <v>92</v>
      </c>
      <c r="G75" s="12" t="s">
        <v>76</v>
      </c>
      <c r="H75" s="12" t="s">
        <v>80</v>
      </c>
      <c r="I75" s="14">
        <v>70</v>
      </c>
      <c r="J75" s="14">
        <v>160</v>
      </c>
      <c r="K75" s="14">
        <v>16</v>
      </c>
      <c r="L75" s="14">
        <v>38</v>
      </c>
      <c r="M75" s="14">
        <v>130</v>
      </c>
      <c r="N75" s="14">
        <v>39</v>
      </c>
    </row>
    <row r="76" spans="1:14" ht="18" x14ac:dyDescent="0.35">
      <c r="A76" s="9">
        <v>563</v>
      </c>
      <c r="B76" s="2">
        <v>44562</v>
      </c>
      <c r="C76" s="12" t="s">
        <v>83</v>
      </c>
      <c r="D76" s="12" t="s">
        <v>65</v>
      </c>
      <c r="E76" s="12" t="s">
        <v>78</v>
      </c>
      <c r="F76" s="12" t="s">
        <v>12</v>
      </c>
      <c r="G76" s="12" t="s">
        <v>68</v>
      </c>
      <c r="H76" s="12" t="s">
        <v>80</v>
      </c>
      <c r="I76" s="14">
        <v>30</v>
      </c>
      <c r="J76" s="14">
        <v>50</v>
      </c>
      <c r="K76" s="14">
        <v>4</v>
      </c>
      <c r="L76" s="14">
        <v>11</v>
      </c>
      <c r="M76" s="14">
        <v>43</v>
      </c>
      <c r="N76" s="14">
        <v>15</v>
      </c>
    </row>
    <row r="77" spans="1:14" ht="18" x14ac:dyDescent="0.35">
      <c r="A77" s="9">
        <v>573</v>
      </c>
      <c r="B77" s="2">
        <v>44562</v>
      </c>
      <c r="C77" s="12" t="s">
        <v>83</v>
      </c>
      <c r="D77" s="12" t="s">
        <v>65</v>
      </c>
      <c r="E77" s="12" t="s">
        <v>78</v>
      </c>
      <c r="F77" s="12" t="s">
        <v>86</v>
      </c>
      <c r="G77" s="12" t="s">
        <v>68</v>
      </c>
      <c r="H77" s="12" t="s">
        <v>80</v>
      </c>
      <c r="I77" s="14">
        <v>70</v>
      </c>
      <c r="J77" s="14">
        <v>140</v>
      </c>
      <c r="K77" s="14">
        <v>14</v>
      </c>
      <c r="L77" s="14">
        <v>48</v>
      </c>
      <c r="M77" s="14">
        <v>123</v>
      </c>
      <c r="N77" s="14">
        <v>25</v>
      </c>
    </row>
    <row r="78" spans="1:14" ht="18" x14ac:dyDescent="0.35">
      <c r="A78" s="9">
        <v>414</v>
      </c>
      <c r="B78" s="2">
        <v>44562</v>
      </c>
      <c r="C78" s="12" t="s">
        <v>83</v>
      </c>
      <c r="D78" s="12" t="s">
        <v>65</v>
      </c>
      <c r="E78" s="12" t="s">
        <v>78</v>
      </c>
      <c r="F78" s="12" t="s">
        <v>87</v>
      </c>
      <c r="G78" s="12" t="s">
        <v>68</v>
      </c>
      <c r="H78" s="12" t="s">
        <v>80</v>
      </c>
      <c r="I78" s="14">
        <v>50</v>
      </c>
      <c r="J78" s="14">
        <v>170</v>
      </c>
      <c r="K78" s="14">
        <v>21</v>
      </c>
      <c r="L78" s="14">
        <v>38</v>
      </c>
      <c r="M78" s="14">
        <v>150</v>
      </c>
      <c r="N78" s="14">
        <v>43</v>
      </c>
    </row>
    <row r="79" spans="1:14" ht="18" x14ac:dyDescent="0.35">
      <c r="A79" s="9">
        <v>860</v>
      </c>
      <c r="B79" s="2">
        <v>44562</v>
      </c>
      <c r="C79" s="12" t="s">
        <v>83</v>
      </c>
      <c r="D79" s="12" t="s">
        <v>65</v>
      </c>
      <c r="E79" s="12" t="s">
        <v>78</v>
      </c>
      <c r="F79" s="12" t="s">
        <v>93</v>
      </c>
      <c r="G79" s="12" t="s">
        <v>72</v>
      </c>
      <c r="H79" s="12" t="s">
        <v>80</v>
      </c>
      <c r="I79" s="14">
        <v>20</v>
      </c>
      <c r="J79" s="14">
        <v>170</v>
      </c>
      <c r="K79" s="14">
        <v>68</v>
      </c>
      <c r="L79" s="14">
        <v>7</v>
      </c>
      <c r="M79" s="14">
        <v>180</v>
      </c>
      <c r="N79" s="14">
        <v>98</v>
      </c>
    </row>
    <row r="80" spans="1:14" ht="18" x14ac:dyDescent="0.35">
      <c r="A80" s="9">
        <v>603</v>
      </c>
      <c r="B80" s="2">
        <v>44562</v>
      </c>
      <c r="C80" s="12" t="s">
        <v>83</v>
      </c>
      <c r="D80" s="12" t="s">
        <v>65</v>
      </c>
      <c r="E80" s="12" t="s">
        <v>78</v>
      </c>
      <c r="F80" s="12" t="s">
        <v>18</v>
      </c>
      <c r="G80" s="12" t="s">
        <v>72</v>
      </c>
      <c r="H80" s="12" t="s">
        <v>80</v>
      </c>
      <c r="I80" s="14">
        <v>0</v>
      </c>
      <c r="J80" s="14">
        <v>80</v>
      </c>
      <c r="K80" s="14">
        <v>34</v>
      </c>
      <c r="L80" s="14">
        <v>-10</v>
      </c>
      <c r="M80" s="14">
        <v>90</v>
      </c>
      <c r="N80" s="14">
        <v>63</v>
      </c>
    </row>
    <row r="81" spans="1:14" ht="18" x14ac:dyDescent="0.35">
      <c r="A81" s="9">
        <v>603</v>
      </c>
      <c r="B81" s="2">
        <v>44562</v>
      </c>
      <c r="C81" s="12" t="s">
        <v>84</v>
      </c>
      <c r="D81" s="12" t="s">
        <v>65</v>
      </c>
      <c r="E81" s="12" t="s">
        <v>78</v>
      </c>
      <c r="F81" s="12" t="s">
        <v>18</v>
      </c>
      <c r="G81" s="12" t="s">
        <v>72</v>
      </c>
      <c r="H81" s="12" t="s">
        <v>80</v>
      </c>
      <c r="I81" s="14">
        <v>0</v>
      </c>
      <c r="J81" s="14">
        <v>60</v>
      </c>
      <c r="K81" s="14">
        <v>11</v>
      </c>
      <c r="L81" s="14">
        <v>-8</v>
      </c>
      <c r="M81" s="14">
        <v>65</v>
      </c>
      <c r="N81" s="14">
        <v>44</v>
      </c>
    </row>
    <row r="82" spans="1:14" ht="18" x14ac:dyDescent="0.35">
      <c r="A82" s="9">
        <v>504</v>
      </c>
      <c r="B82" s="2">
        <v>44562</v>
      </c>
      <c r="C82" s="12" t="s">
        <v>85</v>
      </c>
      <c r="D82" s="12" t="s">
        <v>65</v>
      </c>
      <c r="E82" s="12" t="s">
        <v>78</v>
      </c>
      <c r="F82" s="12" t="s">
        <v>88</v>
      </c>
      <c r="G82" s="12" t="s">
        <v>74</v>
      </c>
      <c r="H82" s="12" t="s">
        <v>80</v>
      </c>
      <c r="I82" s="14">
        <v>10</v>
      </c>
      <c r="J82" s="14">
        <v>150</v>
      </c>
      <c r="K82" s="14">
        <v>68</v>
      </c>
      <c r="L82" s="14">
        <v>8</v>
      </c>
      <c r="M82" s="14">
        <v>180</v>
      </c>
      <c r="N82" s="14">
        <v>97</v>
      </c>
    </row>
    <row r="83" spans="1:14" ht="18" x14ac:dyDescent="0.35">
      <c r="A83" s="9">
        <v>505</v>
      </c>
      <c r="B83" s="2">
        <v>44562</v>
      </c>
      <c r="C83" s="12" t="s">
        <v>85</v>
      </c>
      <c r="D83" s="12" t="s">
        <v>65</v>
      </c>
      <c r="E83" s="12" t="s">
        <v>78</v>
      </c>
      <c r="F83" s="12" t="s">
        <v>24</v>
      </c>
      <c r="G83" s="12" t="s">
        <v>74</v>
      </c>
      <c r="H83" s="12" t="s">
        <v>80</v>
      </c>
      <c r="I83" s="14">
        <v>0</v>
      </c>
      <c r="J83" s="14">
        <v>50</v>
      </c>
      <c r="K83" s="14">
        <v>11</v>
      </c>
      <c r="L83" s="14">
        <v>-8</v>
      </c>
      <c r="M83" s="14">
        <v>65</v>
      </c>
      <c r="N83" s="14">
        <v>44</v>
      </c>
    </row>
    <row r="84" spans="1:14" ht="18" x14ac:dyDescent="0.35">
      <c r="A84" s="9">
        <v>405</v>
      </c>
      <c r="B84" s="2">
        <v>44562</v>
      </c>
      <c r="C84" s="12" t="s">
        <v>85</v>
      </c>
      <c r="D84" s="12" t="s">
        <v>65</v>
      </c>
      <c r="E84" s="12" t="s">
        <v>78</v>
      </c>
      <c r="F84" s="12" t="s">
        <v>89</v>
      </c>
      <c r="G84" s="12" t="s">
        <v>74</v>
      </c>
      <c r="H84" s="12" t="s">
        <v>80</v>
      </c>
      <c r="I84" s="14">
        <v>70</v>
      </c>
      <c r="J84" s="14">
        <v>170</v>
      </c>
      <c r="K84" s="14">
        <v>26</v>
      </c>
      <c r="L84" s="14">
        <v>66</v>
      </c>
      <c r="M84" s="14">
        <v>200</v>
      </c>
      <c r="N84" s="14">
        <v>50</v>
      </c>
    </row>
    <row r="85" spans="1:14" ht="18" x14ac:dyDescent="0.35">
      <c r="A85" s="9">
        <v>337</v>
      </c>
      <c r="B85" s="2">
        <v>44562</v>
      </c>
      <c r="C85" s="12" t="s">
        <v>83</v>
      </c>
      <c r="D85" s="12" t="s">
        <v>65</v>
      </c>
      <c r="E85" s="12" t="s">
        <v>78</v>
      </c>
      <c r="F85" s="12" t="s">
        <v>88</v>
      </c>
      <c r="G85" s="12" t="s">
        <v>74</v>
      </c>
      <c r="H85" s="12" t="s">
        <v>80</v>
      </c>
      <c r="I85" s="14">
        <v>80</v>
      </c>
      <c r="J85" s="14">
        <v>150</v>
      </c>
      <c r="K85" s="14">
        <v>20</v>
      </c>
      <c r="L85" s="14">
        <v>70</v>
      </c>
      <c r="M85" s="14">
        <v>180</v>
      </c>
      <c r="N85" s="14">
        <v>43</v>
      </c>
    </row>
    <row r="86" spans="1:14" ht="18" x14ac:dyDescent="0.35">
      <c r="A86" s="9">
        <v>505</v>
      </c>
      <c r="B86" s="2">
        <v>44562</v>
      </c>
      <c r="C86" s="12" t="s">
        <v>83</v>
      </c>
      <c r="D86" s="12" t="s">
        <v>65</v>
      </c>
      <c r="E86" s="12" t="s">
        <v>78</v>
      </c>
      <c r="F86" s="12" t="s">
        <v>24</v>
      </c>
      <c r="G86" s="12" t="s">
        <v>74</v>
      </c>
      <c r="H86" s="12" t="s">
        <v>80</v>
      </c>
      <c r="I86" s="14">
        <v>-10</v>
      </c>
      <c r="J86" s="14">
        <v>70</v>
      </c>
      <c r="K86" s="14">
        <v>34</v>
      </c>
      <c r="L86" s="14">
        <v>-10</v>
      </c>
      <c r="M86" s="14">
        <v>90</v>
      </c>
      <c r="N86" s="14">
        <v>63</v>
      </c>
    </row>
    <row r="87" spans="1:14" ht="18" x14ac:dyDescent="0.35">
      <c r="A87" s="9">
        <v>405</v>
      </c>
      <c r="B87" s="2">
        <v>44562</v>
      </c>
      <c r="C87" s="12" t="s">
        <v>83</v>
      </c>
      <c r="D87" s="12" t="s">
        <v>65</v>
      </c>
      <c r="E87" s="12" t="s">
        <v>78</v>
      </c>
      <c r="F87" s="12" t="s">
        <v>89</v>
      </c>
      <c r="G87" s="12" t="s">
        <v>74</v>
      </c>
      <c r="H87" s="12" t="s">
        <v>80</v>
      </c>
      <c r="I87" s="14">
        <v>40</v>
      </c>
      <c r="J87" s="14">
        <v>60</v>
      </c>
      <c r="K87" s="14">
        <v>8</v>
      </c>
      <c r="L87" s="14">
        <v>28</v>
      </c>
      <c r="M87" s="14">
        <v>80</v>
      </c>
      <c r="N87" s="14">
        <v>20</v>
      </c>
    </row>
    <row r="88" spans="1:14" ht="18" x14ac:dyDescent="0.35">
      <c r="A88" s="9">
        <v>775</v>
      </c>
      <c r="B88" s="2">
        <v>44562</v>
      </c>
      <c r="C88" s="12" t="s">
        <v>85</v>
      </c>
      <c r="D88" s="12" t="s">
        <v>65</v>
      </c>
      <c r="E88" s="12" t="s">
        <v>78</v>
      </c>
      <c r="F88" s="12" t="s">
        <v>15</v>
      </c>
      <c r="G88" s="12" t="s">
        <v>76</v>
      </c>
      <c r="H88" s="12" t="s">
        <v>80</v>
      </c>
      <c r="I88" s="14">
        <v>20</v>
      </c>
      <c r="J88" s="14">
        <v>40</v>
      </c>
      <c r="K88" s="14">
        <v>4</v>
      </c>
      <c r="L88" s="14">
        <v>11</v>
      </c>
      <c r="M88" s="14">
        <v>43</v>
      </c>
      <c r="N88" s="14">
        <v>15</v>
      </c>
    </row>
    <row r="89" spans="1:14" ht="18" x14ac:dyDescent="0.35">
      <c r="A89" s="9">
        <v>503</v>
      </c>
      <c r="B89" s="2">
        <v>44562</v>
      </c>
      <c r="C89" s="12" t="s">
        <v>85</v>
      </c>
      <c r="D89" s="12" t="s">
        <v>65</v>
      </c>
      <c r="E89" s="12" t="s">
        <v>78</v>
      </c>
      <c r="F89" s="12" t="s">
        <v>90</v>
      </c>
      <c r="G89" s="12" t="s">
        <v>76</v>
      </c>
      <c r="H89" s="12" t="s">
        <v>80</v>
      </c>
      <c r="I89" s="14">
        <v>20</v>
      </c>
      <c r="J89" s="14">
        <v>120</v>
      </c>
      <c r="K89" s="14">
        <v>22</v>
      </c>
      <c r="L89" s="14">
        <v>16</v>
      </c>
      <c r="M89" s="14">
        <v>130</v>
      </c>
      <c r="N89" s="14">
        <v>56</v>
      </c>
    </row>
    <row r="90" spans="1:14" ht="18" x14ac:dyDescent="0.35">
      <c r="A90" s="9">
        <v>435</v>
      </c>
      <c r="B90" s="2">
        <v>44562</v>
      </c>
      <c r="C90" s="12" t="s">
        <v>85</v>
      </c>
      <c r="D90" s="12" t="s">
        <v>65</v>
      </c>
      <c r="E90" s="12" t="s">
        <v>78</v>
      </c>
      <c r="F90" s="12" t="s">
        <v>91</v>
      </c>
      <c r="G90" s="12" t="s">
        <v>76</v>
      </c>
      <c r="H90" s="12" t="s">
        <v>80</v>
      </c>
      <c r="I90" s="14">
        <v>40</v>
      </c>
      <c r="J90" s="14">
        <v>100</v>
      </c>
      <c r="K90" s="14">
        <v>12</v>
      </c>
      <c r="L90" s="14">
        <v>44</v>
      </c>
      <c r="M90" s="14">
        <v>114</v>
      </c>
      <c r="N90" s="14">
        <v>24</v>
      </c>
    </row>
    <row r="91" spans="1:14" ht="18" x14ac:dyDescent="0.35">
      <c r="A91" s="9">
        <v>425</v>
      </c>
      <c r="B91" s="2">
        <v>44562</v>
      </c>
      <c r="C91" s="12" t="s">
        <v>85</v>
      </c>
      <c r="D91" s="12" t="s">
        <v>65</v>
      </c>
      <c r="E91" s="12" t="s">
        <v>78</v>
      </c>
      <c r="F91" s="12" t="s">
        <v>92</v>
      </c>
      <c r="G91" s="12" t="s">
        <v>76</v>
      </c>
      <c r="H91" s="12" t="s">
        <v>80</v>
      </c>
      <c r="I91" s="14">
        <v>40</v>
      </c>
      <c r="J91" s="14">
        <v>100</v>
      </c>
      <c r="K91" s="14">
        <v>15</v>
      </c>
      <c r="L91" s="14">
        <v>35</v>
      </c>
      <c r="M91" s="14">
        <v>110</v>
      </c>
      <c r="N91" s="14">
        <v>27</v>
      </c>
    </row>
    <row r="92" spans="1:14" ht="18" x14ac:dyDescent="0.35">
      <c r="A92" s="9">
        <v>702</v>
      </c>
      <c r="B92" s="2">
        <v>44562</v>
      </c>
      <c r="C92" s="12" t="s">
        <v>83</v>
      </c>
      <c r="D92" s="12" t="s">
        <v>65</v>
      </c>
      <c r="E92" s="12" t="s">
        <v>78</v>
      </c>
      <c r="F92" s="12" t="s">
        <v>15</v>
      </c>
      <c r="G92" s="12" t="s">
        <v>76</v>
      </c>
      <c r="H92" s="12" t="s">
        <v>80</v>
      </c>
      <c r="I92" s="14">
        <v>20</v>
      </c>
      <c r="J92" s="14">
        <v>40</v>
      </c>
      <c r="K92" s="14">
        <v>5</v>
      </c>
      <c r="L92" s="14">
        <v>10</v>
      </c>
      <c r="M92" s="14">
        <v>45</v>
      </c>
      <c r="N92" s="14">
        <v>17</v>
      </c>
    </row>
    <row r="93" spans="1:14" ht="18" x14ac:dyDescent="0.35">
      <c r="A93" s="9">
        <v>503</v>
      </c>
      <c r="B93" s="2">
        <v>44562</v>
      </c>
      <c r="C93" s="12" t="s">
        <v>83</v>
      </c>
      <c r="D93" s="12" t="s">
        <v>65</v>
      </c>
      <c r="E93" s="12" t="s">
        <v>78</v>
      </c>
      <c r="F93" s="12" t="s">
        <v>90</v>
      </c>
      <c r="G93" s="12" t="s">
        <v>76</v>
      </c>
      <c r="H93" s="12" t="s">
        <v>80</v>
      </c>
      <c r="I93" s="14">
        <v>50</v>
      </c>
      <c r="J93" s="14">
        <v>130</v>
      </c>
      <c r="K93" s="14">
        <v>19</v>
      </c>
      <c r="L93" s="14">
        <v>33</v>
      </c>
      <c r="M93" s="14">
        <v>140</v>
      </c>
      <c r="N93" s="14">
        <v>47</v>
      </c>
    </row>
    <row r="94" spans="1:14" ht="18" x14ac:dyDescent="0.35">
      <c r="A94" s="9">
        <v>435</v>
      </c>
      <c r="B94" s="2">
        <v>44562</v>
      </c>
      <c r="C94" s="12" t="s">
        <v>83</v>
      </c>
      <c r="D94" s="12" t="s">
        <v>65</v>
      </c>
      <c r="E94" s="12" t="s">
        <v>78</v>
      </c>
      <c r="F94" s="12" t="s">
        <v>91</v>
      </c>
      <c r="G94" s="12" t="s">
        <v>76</v>
      </c>
      <c r="H94" s="12" t="s">
        <v>80</v>
      </c>
      <c r="I94" s="14">
        <v>40</v>
      </c>
      <c r="J94" s="14">
        <v>100</v>
      </c>
      <c r="K94" s="14">
        <v>16</v>
      </c>
      <c r="L94" s="14">
        <v>34</v>
      </c>
      <c r="M94" s="14">
        <v>112</v>
      </c>
      <c r="N94" s="14">
        <v>29</v>
      </c>
    </row>
    <row r="95" spans="1:14" ht="18" x14ac:dyDescent="0.35">
      <c r="A95" s="9">
        <v>253</v>
      </c>
      <c r="B95" s="2">
        <v>44562</v>
      </c>
      <c r="C95" s="12" t="s">
        <v>83</v>
      </c>
      <c r="D95" s="12" t="s">
        <v>65</v>
      </c>
      <c r="E95" s="12" t="s">
        <v>78</v>
      </c>
      <c r="F95" s="12" t="s">
        <v>92</v>
      </c>
      <c r="G95" s="12" t="s">
        <v>76</v>
      </c>
      <c r="H95" s="12" t="s">
        <v>80</v>
      </c>
      <c r="I95" s="14">
        <v>20</v>
      </c>
      <c r="J95" s="14">
        <v>110</v>
      </c>
      <c r="K95" s="14">
        <v>20</v>
      </c>
      <c r="L95" s="14">
        <v>13</v>
      </c>
      <c r="M95" s="14">
        <v>120</v>
      </c>
      <c r="N95" s="14">
        <v>53</v>
      </c>
    </row>
    <row r="96" spans="1:14" ht="18" x14ac:dyDescent="0.35">
      <c r="A96" s="9">
        <v>970</v>
      </c>
      <c r="B96" s="2">
        <v>44562</v>
      </c>
      <c r="C96" s="12" t="s">
        <v>94</v>
      </c>
      <c r="D96" s="12" t="s">
        <v>95</v>
      </c>
      <c r="E96" s="12" t="s">
        <v>96</v>
      </c>
      <c r="F96" s="12" t="s">
        <v>67</v>
      </c>
      <c r="G96" s="12" t="s">
        <v>68</v>
      </c>
      <c r="H96" s="12" t="s">
        <v>69</v>
      </c>
      <c r="I96" s="14">
        <v>110</v>
      </c>
      <c r="J96" s="14">
        <v>300</v>
      </c>
      <c r="K96" s="14">
        <v>47</v>
      </c>
      <c r="L96" s="14">
        <v>99</v>
      </c>
      <c r="M96" s="14">
        <v>341</v>
      </c>
      <c r="N96" s="14">
        <v>72</v>
      </c>
    </row>
    <row r="97" spans="1:14" ht="18" x14ac:dyDescent="0.35">
      <c r="A97" s="9">
        <v>312</v>
      </c>
      <c r="B97" s="2">
        <v>44562</v>
      </c>
      <c r="C97" s="12" t="s">
        <v>94</v>
      </c>
      <c r="D97" s="12" t="s">
        <v>95</v>
      </c>
      <c r="E97" s="12" t="s">
        <v>96</v>
      </c>
      <c r="F97" s="12" t="s">
        <v>6</v>
      </c>
      <c r="G97" s="12" t="s">
        <v>68</v>
      </c>
      <c r="H97" s="12" t="s">
        <v>69</v>
      </c>
      <c r="I97" s="14">
        <v>100</v>
      </c>
      <c r="J97" s="14">
        <v>190</v>
      </c>
      <c r="K97" s="14">
        <v>24</v>
      </c>
      <c r="L97" s="14">
        <v>95</v>
      </c>
      <c r="M97" s="14">
        <v>219</v>
      </c>
      <c r="N97" s="14">
        <v>35</v>
      </c>
    </row>
    <row r="98" spans="1:14" ht="18" x14ac:dyDescent="0.35">
      <c r="A98" s="9">
        <v>937</v>
      </c>
      <c r="B98" s="2">
        <v>44562</v>
      </c>
      <c r="C98" s="12" t="s">
        <v>94</v>
      </c>
      <c r="D98" s="12" t="s">
        <v>95</v>
      </c>
      <c r="E98" s="12" t="s">
        <v>96</v>
      </c>
      <c r="F98" s="12" t="s">
        <v>70</v>
      </c>
      <c r="G98" s="12" t="s">
        <v>68</v>
      </c>
      <c r="H98" s="12" t="s">
        <v>69</v>
      </c>
      <c r="I98" s="14">
        <v>50</v>
      </c>
      <c r="J98" s="14">
        <v>70</v>
      </c>
      <c r="K98" s="14">
        <v>8</v>
      </c>
      <c r="L98" s="14">
        <v>29</v>
      </c>
      <c r="M98" s="14">
        <v>80</v>
      </c>
      <c r="N98" s="14">
        <v>19</v>
      </c>
    </row>
    <row r="99" spans="1:14" ht="18" x14ac:dyDescent="0.35">
      <c r="A99" s="9">
        <v>719</v>
      </c>
      <c r="B99" s="2">
        <v>44562</v>
      </c>
      <c r="C99" s="12" t="s">
        <v>97</v>
      </c>
      <c r="D99" s="12" t="s">
        <v>95</v>
      </c>
      <c r="E99" s="12" t="s">
        <v>96</v>
      </c>
      <c r="F99" s="12" t="s">
        <v>67</v>
      </c>
      <c r="G99" s="12" t="s">
        <v>68</v>
      </c>
      <c r="H99" s="12" t="s">
        <v>69</v>
      </c>
      <c r="I99" s="14">
        <v>20</v>
      </c>
      <c r="J99" s="14">
        <v>130</v>
      </c>
      <c r="K99" s="14">
        <v>57</v>
      </c>
      <c r="L99" s="14">
        <v>0</v>
      </c>
      <c r="M99" s="14">
        <v>150</v>
      </c>
      <c r="N99" s="14">
        <v>87</v>
      </c>
    </row>
    <row r="100" spans="1:14" ht="18" x14ac:dyDescent="0.35">
      <c r="A100" s="9">
        <v>630</v>
      </c>
      <c r="B100" s="2">
        <v>44562</v>
      </c>
      <c r="C100" s="12" t="s">
        <v>97</v>
      </c>
      <c r="D100" s="12" t="s">
        <v>95</v>
      </c>
      <c r="E100" s="12" t="s">
        <v>96</v>
      </c>
      <c r="F100" s="12" t="s">
        <v>6</v>
      </c>
      <c r="G100" s="12" t="s">
        <v>68</v>
      </c>
      <c r="H100" s="12" t="s">
        <v>69</v>
      </c>
      <c r="I100" s="14">
        <v>60</v>
      </c>
      <c r="J100" s="14">
        <v>160</v>
      </c>
      <c r="K100" s="14">
        <v>27</v>
      </c>
      <c r="L100" s="14">
        <v>68</v>
      </c>
      <c r="M100" s="14">
        <v>190</v>
      </c>
      <c r="N100" s="14">
        <v>39</v>
      </c>
    </row>
    <row r="101" spans="1:14" ht="18" x14ac:dyDescent="0.35">
      <c r="A101" s="9">
        <v>740</v>
      </c>
      <c r="B101" s="2">
        <v>44562</v>
      </c>
      <c r="C101" s="12" t="s">
        <v>97</v>
      </c>
      <c r="D101" s="12" t="s">
        <v>95</v>
      </c>
      <c r="E101" s="12" t="s">
        <v>96</v>
      </c>
      <c r="F101" s="12" t="s">
        <v>70</v>
      </c>
      <c r="G101" s="12" t="s">
        <v>68</v>
      </c>
      <c r="H101" s="12" t="s">
        <v>69</v>
      </c>
      <c r="I101" s="14">
        <v>50</v>
      </c>
      <c r="J101" s="14">
        <v>70</v>
      </c>
      <c r="K101" s="14">
        <v>8</v>
      </c>
      <c r="L101" s="14">
        <v>29</v>
      </c>
      <c r="M101" s="14">
        <v>80</v>
      </c>
      <c r="N101" s="14">
        <v>19</v>
      </c>
    </row>
    <row r="102" spans="1:14" ht="18" x14ac:dyDescent="0.35">
      <c r="A102" s="9">
        <v>970</v>
      </c>
      <c r="B102" s="2">
        <v>44562</v>
      </c>
      <c r="C102" s="12" t="s">
        <v>98</v>
      </c>
      <c r="D102" s="12" t="s">
        <v>95</v>
      </c>
      <c r="E102" s="12" t="s">
        <v>96</v>
      </c>
      <c r="F102" s="12" t="s">
        <v>67</v>
      </c>
      <c r="G102" s="12" t="s">
        <v>68</v>
      </c>
      <c r="H102" s="12" t="s">
        <v>69</v>
      </c>
      <c r="I102" s="14">
        <v>40</v>
      </c>
      <c r="J102" s="14">
        <v>120</v>
      </c>
      <c r="K102" s="14">
        <v>19</v>
      </c>
      <c r="L102" s="14">
        <v>33</v>
      </c>
      <c r="M102" s="14">
        <v>140</v>
      </c>
      <c r="N102" s="14">
        <v>47</v>
      </c>
    </row>
    <row r="103" spans="1:14" ht="18" x14ac:dyDescent="0.35">
      <c r="A103" s="9">
        <v>773</v>
      </c>
      <c r="B103" s="2">
        <v>44562</v>
      </c>
      <c r="C103" s="12" t="s">
        <v>98</v>
      </c>
      <c r="D103" s="12" t="s">
        <v>95</v>
      </c>
      <c r="E103" s="12" t="s">
        <v>96</v>
      </c>
      <c r="F103" s="12" t="s">
        <v>6</v>
      </c>
      <c r="G103" s="12" t="s">
        <v>68</v>
      </c>
      <c r="H103" s="12" t="s">
        <v>69</v>
      </c>
      <c r="I103" s="14">
        <v>100</v>
      </c>
      <c r="J103" s="14">
        <v>200</v>
      </c>
      <c r="K103" s="14">
        <v>26</v>
      </c>
      <c r="L103" s="14">
        <v>101</v>
      </c>
      <c r="M103" s="14">
        <v>234</v>
      </c>
      <c r="N103" s="14">
        <v>38</v>
      </c>
    </row>
    <row r="104" spans="1:14" ht="18" x14ac:dyDescent="0.35">
      <c r="A104" s="9">
        <v>863</v>
      </c>
      <c r="B104" s="2">
        <v>44562</v>
      </c>
      <c r="C104" s="12" t="s">
        <v>94</v>
      </c>
      <c r="D104" s="12" t="s">
        <v>95</v>
      </c>
      <c r="E104" s="12" t="s">
        <v>96</v>
      </c>
      <c r="F104" s="12" t="s">
        <v>71</v>
      </c>
      <c r="G104" s="12" t="s">
        <v>72</v>
      </c>
      <c r="H104" s="12" t="s">
        <v>69</v>
      </c>
      <c r="I104" s="14">
        <v>30</v>
      </c>
      <c r="J104" s="14">
        <v>80</v>
      </c>
      <c r="K104" s="14">
        <v>15</v>
      </c>
      <c r="L104" s="14">
        <v>34</v>
      </c>
      <c r="M104" s="14">
        <v>110</v>
      </c>
      <c r="N104" s="14">
        <v>28</v>
      </c>
    </row>
    <row r="105" spans="1:14" ht="18" x14ac:dyDescent="0.35">
      <c r="A105" s="9">
        <v>239</v>
      </c>
      <c r="B105" s="2">
        <v>44562</v>
      </c>
      <c r="C105" s="12" t="s">
        <v>97</v>
      </c>
      <c r="D105" s="12" t="s">
        <v>95</v>
      </c>
      <c r="E105" s="12" t="s">
        <v>96</v>
      </c>
      <c r="F105" s="12" t="s">
        <v>71</v>
      </c>
      <c r="G105" s="12" t="s">
        <v>72</v>
      </c>
      <c r="H105" s="12" t="s">
        <v>69</v>
      </c>
      <c r="I105" s="14">
        <v>20</v>
      </c>
      <c r="J105" s="14">
        <v>90</v>
      </c>
      <c r="K105" s="14">
        <v>20</v>
      </c>
      <c r="L105" s="14">
        <v>13</v>
      </c>
      <c r="M105" s="14">
        <v>120</v>
      </c>
      <c r="N105" s="14">
        <v>53</v>
      </c>
    </row>
    <row r="106" spans="1:14" ht="18" x14ac:dyDescent="0.35">
      <c r="A106" s="9">
        <v>339</v>
      </c>
      <c r="B106" s="2">
        <v>44562</v>
      </c>
      <c r="C106" s="12" t="s">
        <v>97</v>
      </c>
      <c r="D106" s="12" t="s">
        <v>95</v>
      </c>
      <c r="E106" s="12" t="s">
        <v>96</v>
      </c>
      <c r="F106" s="12" t="s">
        <v>82</v>
      </c>
      <c r="G106" s="12" t="s">
        <v>72</v>
      </c>
      <c r="H106" s="12" t="s">
        <v>69</v>
      </c>
      <c r="I106" s="14">
        <v>30</v>
      </c>
      <c r="J106" s="14">
        <v>100</v>
      </c>
      <c r="K106" s="14">
        <v>22</v>
      </c>
      <c r="L106" s="14">
        <v>17</v>
      </c>
      <c r="M106" s="14">
        <v>130</v>
      </c>
      <c r="N106" s="14">
        <v>55</v>
      </c>
    </row>
    <row r="107" spans="1:14" ht="18" x14ac:dyDescent="0.35">
      <c r="A107" s="9">
        <v>607</v>
      </c>
      <c r="B107" s="2">
        <v>44562</v>
      </c>
      <c r="C107" s="12" t="s">
        <v>97</v>
      </c>
      <c r="D107" s="12" t="s">
        <v>95</v>
      </c>
      <c r="E107" s="12" t="s">
        <v>96</v>
      </c>
      <c r="F107" s="12" t="s">
        <v>27</v>
      </c>
      <c r="G107" s="12" t="s">
        <v>72</v>
      </c>
      <c r="H107" s="12" t="s">
        <v>69</v>
      </c>
      <c r="I107" s="14">
        <v>100</v>
      </c>
      <c r="J107" s="14">
        <v>370</v>
      </c>
      <c r="K107" s="14">
        <v>93</v>
      </c>
      <c r="L107" s="14">
        <v>111</v>
      </c>
      <c r="M107" s="14">
        <v>483</v>
      </c>
      <c r="N107" s="14">
        <v>127</v>
      </c>
    </row>
    <row r="108" spans="1:14" ht="18" x14ac:dyDescent="0.35">
      <c r="A108" s="9">
        <v>772</v>
      </c>
      <c r="B108" s="2">
        <v>44562</v>
      </c>
      <c r="C108" s="12" t="s">
        <v>98</v>
      </c>
      <c r="D108" s="12" t="s">
        <v>95</v>
      </c>
      <c r="E108" s="12" t="s">
        <v>96</v>
      </c>
      <c r="F108" s="12" t="s">
        <v>71</v>
      </c>
      <c r="G108" s="12" t="s">
        <v>72</v>
      </c>
      <c r="H108" s="12" t="s">
        <v>69</v>
      </c>
      <c r="I108" s="14">
        <v>40</v>
      </c>
      <c r="J108" s="14">
        <v>110</v>
      </c>
      <c r="K108" s="14">
        <v>21</v>
      </c>
      <c r="L108" s="14">
        <v>39</v>
      </c>
      <c r="M108" s="14">
        <v>150</v>
      </c>
      <c r="N108" s="14">
        <v>42</v>
      </c>
    </row>
    <row r="109" spans="1:14" ht="18" x14ac:dyDescent="0.35">
      <c r="A109" s="9">
        <v>845</v>
      </c>
      <c r="B109" s="2">
        <v>44562</v>
      </c>
      <c r="C109" s="12" t="s">
        <v>98</v>
      </c>
      <c r="D109" s="12" t="s">
        <v>95</v>
      </c>
      <c r="E109" s="12" t="s">
        <v>96</v>
      </c>
      <c r="F109" s="12" t="s">
        <v>27</v>
      </c>
      <c r="G109" s="12" t="s">
        <v>72</v>
      </c>
      <c r="H109" s="12" t="s">
        <v>69</v>
      </c>
      <c r="I109" s="14">
        <v>-70</v>
      </c>
      <c r="J109" s="14">
        <v>140</v>
      </c>
      <c r="K109" s="14">
        <v>64</v>
      </c>
      <c r="L109" s="14">
        <v>-113</v>
      </c>
      <c r="M109" s="14">
        <v>180</v>
      </c>
      <c r="N109" s="14">
        <v>86</v>
      </c>
    </row>
    <row r="110" spans="1:14" ht="18" x14ac:dyDescent="0.35">
      <c r="A110" s="9">
        <v>281</v>
      </c>
      <c r="B110" s="2">
        <v>44562</v>
      </c>
      <c r="C110" s="12" t="s">
        <v>94</v>
      </c>
      <c r="D110" s="12" t="s">
        <v>95</v>
      </c>
      <c r="E110" s="12" t="s">
        <v>96</v>
      </c>
      <c r="F110" s="12" t="s">
        <v>73</v>
      </c>
      <c r="G110" s="12" t="s">
        <v>74</v>
      </c>
      <c r="H110" s="12" t="s">
        <v>69</v>
      </c>
      <c r="I110" s="14">
        <v>50</v>
      </c>
      <c r="J110" s="14">
        <v>130</v>
      </c>
      <c r="K110" s="14">
        <v>19</v>
      </c>
      <c r="L110" s="14">
        <v>33</v>
      </c>
      <c r="M110" s="14">
        <v>140</v>
      </c>
      <c r="N110" s="14">
        <v>47</v>
      </c>
    </row>
    <row r="111" spans="1:14" ht="18" x14ac:dyDescent="0.35">
      <c r="A111" s="9">
        <v>254</v>
      </c>
      <c r="B111" s="2">
        <v>44562</v>
      </c>
      <c r="C111" s="12" t="s">
        <v>97</v>
      </c>
      <c r="D111" s="12" t="s">
        <v>95</v>
      </c>
      <c r="E111" s="12" t="s">
        <v>96</v>
      </c>
      <c r="F111" s="12" t="s">
        <v>73</v>
      </c>
      <c r="G111" s="12" t="s">
        <v>74</v>
      </c>
      <c r="H111" s="12" t="s">
        <v>69</v>
      </c>
      <c r="I111" s="14">
        <v>50</v>
      </c>
      <c r="J111" s="14">
        <v>130</v>
      </c>
      <c r="K111" s="14">
        <v>18</v>
      </c>
      <c r="L111" s="14">
        <v>42</v>
      </c>
      <c r="M111" s="14">
        <v>140</v>
      </c>
      <c r="N111" s="14">
        <v>41</v>
      </c>
    </row>
    <row r="112" spans="1:14" ht="18" x14ac:dyDescent="0.35">
      <c r="A112" s="9">
        <v>510</v>
      </c>
      <c r="B112" s="2">
        <v>44562</v>
      </c>
      <c r="C112" s="12" t="s">
        <v>94</v>
      </c>
      <c r="D112" s="12" t="s">
        <v>95</v>
      </c>
      <c r="E112" s="12" t="s">
        <v>96</v>
      </c>
      <c r="F112" s="12" t="s">
        <v>75</v>
      </c>
      <c r="G112" s="12" t="s">
        <v>76</v>
      </c>
      <c r="H112" s="12" t="s">
        <v>69</v>
      </c>
      <c r="I112" s="14">
        <v>100</v>
      </c>
      <c r="J112" s="14">
        <v>200</v>
      </c>
      <c r="K112" s="14">
        <v>26</v>
      </c>
      <c r="L112" s="14">
        <v>102</v>
      </c>
      <c r="M112" s="14">
        <v>234</v>
      </c>
      <c r="N112" s="14">
        <v>37</v>
      </c>
    </row>
    <row r="113" spans="1:14" ht="18" x14ac:dyDescent="0.35">
      <c r="A113" s="9">
        <v>310</v>
      </c>
      <c r="B113" s="2">
        <v>44562</v>
      </c>
      <c r="C113" s="12" t="s">
        <v>97</v>
      </c>
      <c r="D113" s="12" t="s">
        <v>95</v>
      </c>
      <c r="E113" s="12" t="s">
        <v>96</v>
      </c>
      <c r="F113" s="12" t="s">
        <v>75</v>
      </c>
      <c r="G113" s="12" t="s">
        <v>76</v>
      </c>
      <c r="H113" s="12" t="s">
        <v>69</v>
      </c>
      <c r="I113" s="14">
        <v>160</v>
      </c>
      <c r="J113" s="14">
        <v>390</v>
      </c>
      <c r="K113" s="14">
        <v>64</v>
      </c>
      <c r="L113" s="14">
        <v>160</v>
      </c>
      <c r="M113" s="14">
        <v>452</v>
      </c>
      <c r="N113" s="14">
        <v>85</v>
      </c>
    </row>
    <row r="114" spans="1:14" ht="18" x14ac:dyDescent="0.35">
      <c r="A114" s="9">
        <v>707</v>
      </c>
      <c r="B114" s="2">
        <v>44562</v>
      </c>
      <c r="C114" s="12" t="s">
        <v>98</v>
      </c>
      <c r="D114" s="12" t="s">
        <v>95</v>
      </c>
      <c r="E114" s="12" t="s">
        <v>96</v>
      </c>
      <c r="F114" s="12" t="s">
        <v>75</v>
      </c>
      <c r="G114" s="12" t="s">
        <v>76</v>
      </c>
      <c r="H114" s="12" t="s">
        <v>69</v>
      </c>
      <c r="I114" s="14">
        <v>60</v>
      </c>
      <c r="J114" s="14">
        <v>160</v>
      </c>
      <c r="K114" s="14">
        <v>27</v>
      </c>
      <c r="L114" s="14">
        <v>67</v>
      </c>
      <c r="M114" s="14">
        <v>190</v>
      </c>
      <c r="N114" s="14">
        <v>40</v>
      </c>
    </row>
    <row r="115" spans="1:14" ht="18" x14ac:dyDescent="0.35">
      <c r="A115" s="9">
        <v>719</v>
      </c>
      <c r="B115" s="2">
        <v>44562</v>
      </c>
      <c r="C115" s="12" t="s">
        <v>99</v>
      </c>
      <c r="D115" s="12" t="s">
        <v>95</v>
      </c>
      <c r="E115" s="12" t="s">
        <v>100</v>
      </c>
      <c r="F115" s="12" t="s">
        <v>67</v>
      </c>
      <c r="G115" s="12" t="s">
        <v>68</v>
      </c>
      <c r="H115" s="12" t="s">
        <v>80</v>
      </c>
      <c r="I115" s="14">
        <v>20</v>
      </c>
      <c r="J115" s="14">
        <v>110</v>
      </c>
      <c r="K115" s="14">
        <v>22</v>
      </c>
      <c r="L115" s="14">
        <v>17</v>
      </c>
      <c r="M115" s="14">
        <v>130</v>
      </c>
      <c r="N115" s="14">
        <v>55</v>
      </c>
    </row>
    <row r="116" spans="1:14" ht="18" x14ac:dyDescent="0.35">
      <c r="A116" s="9">
        <v>217</v>
      </c>
      <c r="B116" s="2">
        <v>44562</v>
      </c>
      <c r="C116" s="12" t="s">
        <v>99</v>
      </c>
      <c r="D116" s="12" t="s">
        <v>95</v>
      </c>
      <c r="E116" s="12" t="s">
        <v>100</v>
      </c>
      <c r="F116" s="12" t="s">
        <v>6</v>
      </c>
      <c r="G116" s="12" t="s">
        <v>68</v>
      </c>
      <c r="H116" s="12" t="s">
        <v>80</v>
      </c>
      <c r="I116" s="14">
        <v>50</v>
      </c>
      <c r="J116" s="14">
        <v>110</v>
      </c>
      <c r="K116" s="14">
        <v>15</v>
      </c>
      <c r="L116" s="14">
        <v>53</v>
      </c>
      <c r="M116" s="14">
        <v>134</v>
      </c>
      <c r="N116" s="14">
        <v>27</v>
      </c>
    </row>
    <row r="117" spans="1:14" ht="18" x14ac:dyDescent="0.35">
      <c r="A117" s="9">
        <v>567</v>
      </c>
      <c r="B117" s="2">
        <v>44562</v>
      </c>
      <c r="C117" s="12" t="s">
        <v>99</v>
      </c>
      <c r="D117" s="12" t="s">
        <v>95</v>
      </c>
      <c r="E117" s="12" t="s">
        <v>100</v>
      </c>
      <c r="F117" s="12" t="s">
        <v>70</v>
      </c>
      <c r="G117" s="12" t="s">
        <v>68</v>
      </c>
      <c r="H117" s="12" t="s">
        <v>80</v>
      </c>
      <c r="I117" s="14">
        <v>60</v>
      </c>
      <c r="J117" s="14">
        <v>180</v>
      </c>
      <c r="K117" s="14">
        <v>27</v>
      </c>
      <c r="L117" s="14">
        <v>68</v>
      </c>
      <c r="M117" s="14">
        <v>210</v>
      </c>
      <c r="N117" s="14">
        <v>58</v>
      </c>
    </row>
    <row r="118" spans="1:14" ht="18" x14ac:dyDescent="0.35">
      <c r="A118" s="9">
        <v>303</v>
      </c>
      <c r="B118" s="2">
        <v>44562</v>
      </c>
      <c r="C118" s="12" t="s">
        <v>101</v>
      </c>
      <c r="D118" s="12" t="s">
        <v>95</v>
      </c>
      <c r="E118" s="12" t="s">
        <v>100</v>
      </c>
      <c r="F118" s="12" t="s">
        <v>67</v>
      </c>
      <c r="G118" s="12" t="s">
        <v>68</v>
      </c>
      <c r="H118" s="12" t="s">
        <v>80</v>
      </c>
      <c r="I118" s="14">
        <v>40</v>
      </c>
      <c r="J118" s="14">
        <v>120</v>
      </c>
      <c r="K118" s="14">
        <v>19</v>
      </c>
      <c r="L118" s="14">
        <v>36</v>
      </c>
      <c r="M118" s="14">
        <v>140</v>
      </c>
      <c r="N118" s="14">
        <v>40</v>
      </c>
    </row>
    <row r="119" spans="1:14" ht="18" x14ac:dyDescent="0.35">
      <c r="A119" s="9">
        <v>708</v>
      </c>
      <c r="B119" s="2">
        <v>44562</v>
      </c>
      <c r="C119" s="12" t="s">
        <v>101</v>
      </c>
      <c r="D119" s="12" t="s">
        <v>95</v>
      </c>
      <c r="E119" s="12" t="s">
        <v>100</v>
      </c>
      <c r="F119" s="12" t="s">
        <v>6</v>
      </c>
      <c r="G119" s="12" t="s">
        <v>68</v>
      </c>
      <c r="H119" s="12" t="s">
        <v>80</v>
      </c>
      <c r="I119" s="14">
        <v>40</v>
      </c>
      <c r="J119" s="14">
        <v>150</v>
      </c>
      <c r="K119" s="14">
        <v>23</v>
      </c>
      <c r="L119" s="14">
        <v>54</v>
      </c>
      <c r="M119" s="14">
        <v>180</v>
      </c>
      <c r="N119" s="14">
        <v>54</v>
      </c>
    </row>
    <row r="120" spans="1:14" ht="18" x14ac:dyDescent="0.35">
      <c r="A120" s="9">
        <v>216</v>
      </c>
      <c r="B120" s="2">
        <v>44562</v>
      </c>
      <c r="C120" s="12" t="s">
        <v>101</v>
      </c>
      <c r="D120" s="12" t="s">
        <v>95</v>
      </c>
      <c r="E120" s="12" t="s">
        <v>100</v>
      </c>
      <c r="F120" s="12" t="s">
        <v>70</v>
      </c>
      <c r="G120" s="12" t="s">
        <v>68</v>
      </c>
      <c r="H120" s="12" t="s">
        <v>80</v>
      </c>
      <c r="I120" s="14">
        <v>60</v>
      </c>
      <c r="J120" s="14">
        <v>170</v>
      </c>
      <c r="K120" s="14">
        <v>26</v>
      </c>
      <c r="L120" s="14">
        <v>67</v>
      </c>
      <c r="M120" s="14">
        <v>200</v>
      </c>
      <c r="N120" s="14">
        <v>49</v>
      </c>
    </row>
    <row r="121" spans="1:14" ht="18" x14ac:dyDescent="0.35">
      <c r="A121" s="9">
        <v>303</v>
      </c>
      <c r="B121" s="2">
        <v>44562</v>
      </c>
      <c r="C121" s="12" t="s">
        <v>102</v>
      </c>
      <c r="D121" s="12" t="s">
        <v>95</v>
      </c>
      <c r="E121" s="12" t="s">
        <v>100</v>
      </c>
      <c r="F121" s="12" t="s">
        <v>67</v>
      </c>
      <c r="G121" s="12" t="s">
        <v>68</v>
      </c>
      <c r="H121" s="12" t="s">
        <v>80</v>
      </c>
      <c r="I121" s="14">
        <v>30</v>
      </c>
      <c r="J121" s="14">
        <v>80</v>
      </c>
      <c r="K121" s="14">
        <v>14</v>
      </c>
      <c r="L121" s="14">
        <v>30</v>
      </c>
      <c r="M121" s="14">
        <v>100</v>
      </c>
      <c r="N121" s="14">
        <v>26</v>
      </c>
    </row>
    <row r="122" spans="1:14" ht="18" x14ac:dyDescent="0.35">
      <c r="A122" s="9">
        <v>954</v>
      </c>
      <c r="B122" s="2">
        <v>44562</v>
      </c>
      <c r="C122" s="12" t="s">
        <v>99</v>
      </c>
      <c r="D122" s="12" t="s">
        <v>95</v>
      </c>
      <c r="E122" s="12" t="s">
        <v>100</v>
      </c>
      <c r="F122" s="12" t="s">
        <v>71</v>
      </c>
      <c r="G122" s="12" t="s">
        <v>72</v>
      </c>
      <c r="H122" s="12" t="s">
        <v>80</v>
      </c>
      <c r="I122" s="14">
        <v>40</v>
      </c>
      <c r="J122" s="14">
        <v>80</v>
      </c>
      <c r="K122" s="14">
        <v>8</v>
      </c>
      <c r="L122" s="14">
        <v>28</v>
      </c>
      <c r="M122" s="14">
        <v>80</v>
      </c>
      <c r="N122" s="14">
        <v>20</v>
      </c>
    </row>
    <row r="123" spans="1:14" ht="18" x14ac:dyDescent="0.35">
      <c r="A123" s="9">
        <v>508</v>
      </c>
      <c r="B123" s="2">
        <v>44562</v>
      </c>
      <c r="C123" s="12" t="s">
        <v>99</v>
      </c>
      <c r="D123" s="12" t="s">
        <v>95</v>
      </c>
      <c r="E123" s="12" t="s">
        <v>100</v>
      </c>
      <c r="F123" s="12" t="s">
        <v>82</v>
      </c>
      <c r="G123" s="12" t="s">
        <v>72</v>
      </c>
      <c r="H123" s="12" t="s">
        <v>80</v>
      </c>
      <c r="I123" s="14">
        <v>40</v>
      </c>
      <c r="J123" s="14">
        <v>80</v>
      </c>
      <c r="K123" s="14">
        <v>8</v>
      </c>
      <c r="L123" s="14">
        <v>29</v>
      </c>
      <c r="M123" s="14">
        <v>80</v>
      </c>
      <c r="N123" s="14">
        <v>19</v>
      </c>
    </row>
    <row r="124" spans="1:14" ht="18" x14ac:dyDescent="0.35">
      <c r="A124" s="9">
        <v>347</v>
      </c>
      <c r="B124" s="2">
        <v>44562</v>
      </c>
      <c r="C124" s="12" t="s">
        <v>99</v>
      </c>
      <c r="D124" s="12" t="s">
        <v>95</v>
      </c>
      <c r="E124" s="12" t="s">
        <v>100</v>
      </c>
      <c r="F124" s="12" t="s">
        <v>27</v>
      </c>
      <c r="G124" s="12" t="s">
        <v>72</v>
      </c>
      <c r="H124" s="12" t="s">
        <v>80</v>
      </c>
      <c r="I124" s="14">
        <v>120</v>
      </c>
      <c r="J124" s="14">
        <v>250</v>
      </c>
      <c r="K124" s="14">
        <v>26</v>
      </c>
      <c r="L124" s="14">
        <v>101</v>
      </c>
      <c r="M124" s="14">
        <v>234</v>
      </c>
      <c r="N124" s="14">
        <v>38</v>
      </c>
    </row>
    <row r="125" spans="1:14" ht="18" x14ac:dyDescent="0.35">
      <c r="A125" s="9">
        <v>646</v>
      </c>
      <c r="B125" s="2">
        <v>44562</v>
      </c>
      <c r="C125" s="12" t="s">
        <v>101</v>
      </c>
      <c r="D125" s="12" t="s">
        <v>95</v>
      </c>
      <c r="E125" s="12" t="s">
        <v>100</v>
      </c>
      <c r="F125" s="12" t="s">
        <v>27</v>
      </c>
      <c r="G125" s="12" t="s">
        <v>72</v>
      </c>
      <c r="H125" s="12" t="s">
        <v>80</v>
      </c>
      <c r="I125" s="14">
        <v>110</v>
      </c>
      <c r="J125" s="14">
        <v>230</v>
      </c>
      <c r="K125" s="14">
        <v>24</v>
      </c>
      <c r="L125" s="14">
        <v>94</v>
      </c>
      <c r="M125" s="14">
        <v>219</v>
      </c>
      <c r="N125" s="14">
        <v>36</v>
      </c>
    </row>
    <row r="126" spans="1:14" ht="18" x14ac:dyDescent="0.35">
      <c r="A126" s="9">
        <v>754</v>
      </c>
      <c r="B126" s="2">
        <v>44562</v>
      </c>
      <c r="C126" s="12" t="s">
        <v>102</v>
      </c>
      <c r="D126" s="12" t="s">
        <v>95</v>
      </c>
      <c r="E126" s="12" t="s">
        <v>100</v>
      </c>
      <c r="F126" s="12" t="s">
        <v>71</v>
      </c>
      <c r="G126" s="12" t="s">
        <v>72</v>
      </c>
      <c r="H126" s="12" t="s">
        <v>80</v>
      </c>
      <c r="I126" s="14">
        <v>40</v>
      </c>
      <c r="J126" s="14">
        <v>80</v>
      </c>
      <c r="K126" s="14">
        <v>9</v>
      </c>
      <c r="L126" s="14">
        <v>28</v>
      </c>
      <c r="M126" s="14">
        <v>81</v>
      </c>
      <c r="N126" s="14">
        <v>20</v>
      </c>
    </row>
    <row r="127" spans="1:14" ht="18" x14ac:dyDescent="0.35">
      <c r="A127" s="9">
        <v>781</v>
      </c>
      <c r="B127" s="2">
        <v>44562</v>
      </c>
      <c r="C127" s="12" t="s">
        <v>102</v>
      </c>
      <c r="D127" s="12" t="s">
        <v>95</v>
      </c>
      <c r="E127" s="12" t="s">
        <v>100</v>
      </c>
      <c r="F127" s="12" t="s">
        <v>82</v>
      </c>
      <c r="G127" s="12" t="s">
        <v>72</v>
      </c>
      <c r="H127" s="12" t="s">
        <v>80</v>
      </c>
      <c r="I127" s="14">
        <v>40</v>
      </c>
      <c r="J127" s="14">
        <v>80</v>
      </c>
      <c r="K127" s="14">
        <v>8</v>
      </c>
      <c r="L127" s="14">
        <v>29</v>
      </c>
      <c r="M127" s="14">
        <v>80</v>
      </c>
      <c r="N127" s="14">
        <v>19</v>
      </c>
    </row>
    <row r="128" spans="1:14" ht="18" x14ac:dyDescent="0.35">
      <c r="A128" s="9">
        <v>347</v>
      </c>
      <c r="B128" s="2">
        <v>44562</v>
      </c>
      <c r="C128" s="12" t="s">
        <v>102</v>
      </c>
      <c r="D128" s="12" t="s">
        <v>95</v>
      </c>
      <c r="E128" s="12" t="s">
        <v>100</v>
      </c>
      <c r="F128" s="12" t="s">
        <v>27</v>
      </c>
      <c r="G128" s="12" t="s">
        <v>72</v>
      </c>
      <c r="H128" s="12" t="s">
        <v>80</v>
      </c>
      <c r="I128" s="14">
        <v>70</v>
      </c>
      <c r="J128" s="14">
        <v>140</v>
      </c>
      <c r="K128" s="14">
        <v>15</v>
      </c>
      <c r="L128" s="14">
        <v>54</v>
      </c>
      <c r="M128" s="14">
        <v>134</v>
      </c>
      <c r="N128" s="14">
        <v>26</v>
      </c>
    </row>
    <row r="129" spans="1:14" ht="18" x14ac:dyDescent="0.35">
      <c r="A129" s="9">
        <v>619</v>
      </c>
      <c r="B129" s="2">
        <v>44562</v>
      </c>
      <c r="C129" s="12" t="s">
        <v>99</v>
      </c>
      <c r="D129" s="12" t="s">
        <v>95</v>
      </c>
      <c r="E129" s="12" t="s">
        <v>100</v>
      </c>
      <c r="F129" s="12" t="s">
        <v>75</v>
      </c>
      <c r="G129" s="12" t="s">
        <v>76</v>
      </c>
      <c r="H129" s="12" t="s">
        <v>80</v>
      </c>
      <c r="I129" s="14">
        <v>80</v>
      </c>
      <c r="J129" s="14">
        <v>140</v>
      </c>
      <c r="K129" s="14">
        <v>24</v>
      </c>
      <c r="L129" s="14">
        <v>94</v>
      </c>
      <c r="M129" s="14">
        <v>219</v>
      </c>
      <c r="N129" s="14">
        <v>36</v>
      </c>
    </row>
    <row r="130" spans="1:14" ht="18" x14ac:dyDescent="0.35">
      <c r="A130" s="9">
        <v>650</v>
      </c>
      <c r="B130" s="2">
        <v>44562</v>
      </c>
      <c r="C130" s="12" t="s">
        <v>101</v>
      </c>
      <c r="D130" s="12" t="s">
        <v>95</v>
      </c>
      <c r="E130" s="12" t="s">
        <v>100</v>
      </c>
      <c r="F130" s="12" t="s">
        <v>75</v>
      </c>
      <c r="G130" s="12" t="s">
        <v>76</v>
      </c>
      <c r="H130" s="12" t="s">
        <v>80</v>
      </c>
      <c r="I130" s="14">
        <v>60</v>
      </c>
      <c r="J130" s="14">
        <v>90</v>
      </c>
      <c r="K130" s="14">
        <v>15</v>
      </c>
      <c r="L130" s="14">
        <v>54</v>
      </c>
      <c r="M130" s="14">
        <v>134</v>
      </c>
      <c r="N130" s="14">
        <v>26</v>
      </c>
    </row>
    <row r="131" spans="1:14" ht="18" x14ac:dyDescent="0.35">
      <c r="A131" s="9">
        <v>760</v>
      </c>
      <c r="B131" s="2">
        <v>44562</v>
      </c>
      <c r="C131" s="12" t="s">
        <v>102</v>
      </c>
      <c r="D131" s="12" t="s">
        <v>95</v>
      </c>
      <c r="E131" s="12" t="s">
        <v>100</v>
      </c>
      <c r="F131" s="12" t="s">
        <v>75</v>
      </c>
      <c r="G131" s="12" t="s">
        <v>76</v>
      </c>
      <c r="H131" s="12" t="s">
        <v>80</v>
      </c>
      <c r="I131" s="14">
        <v>50</v>
      </c>
      <c r="J131" s="14">
        <v>120</v>
      </c>
      <c r="K131" s="14">
        <v>23</v>
      </c>
      <c r="L131" s="14">
        <v>54</v>
      </c>
      <c r="M131" s="14">
        <v>180</v>
      </c>
      <c r="N131" s="14">
        <v>54</v>
      </c>
    </row>
    <row r="132" spans="1:14" ht="18" x14ac:dyDescent="0.35">
      <c r="A132" s="9">
        <v>641</v>
      </c>
      <c r="B132" s="2">
        <v>44562</v>
      </c>
      <c r="C132" s="12" t="s">
        <v>94</v>
      </c>
      <c r="D132" s="12" t="s">
        <v>95</v>
      </c>
      <c r="E132" s="12" t="s">
        <v>96</v>
      </c>
      <c r="F132" s="12" t="s">
        <v>12</v>
      </c>
      <c r="G132" s="12" t="s">
        <v>68</v>
      </c>
      <c r="H132" s="12" t="s">
        <v>69</v>
      </c>
      <c r="I132" s="14">
        <v>200</v>
      </c>
      <c r="J132" s="14">
        <v>480</v>
      </c>
      <c r="K132" s="14">
        <v>77</v>
      </c>
      <c r="L132" s="14">
        <v>202</v>
      </c>
      <c r="M132" s="14">
        <v>546</v>
      </c>
      <c r="N132" s="14">
        <v>110</v>
      </c>
    </row>
    <row r="133" spans="1:14" ht="18" x14ac:dyDescent="0.35">
      <c r="A133" s="9">
        <v>573</v>
      </c>
      <c r="B133" s="2">
        <v>44562</v>
      </c>
      <c r="C133" s="12" t="s">
        <v>94</v>
      </c>
      <c r="D133" s="12" t="s">
        <v>95</v>
      </c>
      <c r="E133" s="12" t="s">
        <v>96</v>
      </c>
      <c r="F133" s="12" t="s">
        <v>86</v>
      </c>
      <c r="G133" s="12" t="s">
        <v>68</v>
      </c>
      <c r="H133" s="12" t="s">
        <v>69</v>
      </c>
      <c r="I133" s="14">
        <v>0</v>
      </c>
      <c r="J133" s="14">
        <v>70</v>
      </c>
      <c r="K133" s="14">
        <v>34</v>
      </c>
      <c r="L133" s="14">
        <v>-11</v>
      </c>
      <c r="M133" s="14">
        <v>90</v>
      </c>
      <c r="N133" s="14">
        <v>64</v>
      </c>
    </row>
    <row r="134" spans="1:14" ht="18" x14ac:dyDescent="0.35">
      <c r="A134" s="9">
        <v>715</v>
      </c>
      <c r="B134" s="2">
        <v>44562</v>
      </c>
      <c r="C134" s="12" t="s">
        <v>94</v>
      </c>
      <c r="D134" s="12" t="s">
        <v>95</v>
      </c>
      <c r="E134" s="12" t="s">
        <v>96</v>
      </c>
      <c r="F134" s="12" t="s">
        <v>87</v>
      </c>
      <c r="G134" s="12" t="s">
        <v>68</v>
      </c>
      <c r="H134" s="12" t="s">
        <v>69</v>
      </c>
      <c r="I134" s="14">
        <v>80</v>
      </c>
      <c r="J134" s="14">
        <v>150</v>
      </c>
      <c r="K134" s="14">
        <v>20</v>
      </c>
      <c r="L134" s="14">
        <v>70</v>
      </c>
      <c r="M134" s="14">
        <v>180</v>
      </c>
      <c r="N134" s="14">
        <v>43</v>
      </c>
    </row>
    <row r="135" spans="1:14" ht="18" x14ac:dyDescent="0.35">
      <c r="A135" s="9">
        <v>563</v>
      </c>
      <c r="B135" s="2">
        <v>44562</v>
      </c>
      <c r="C135" s="12" t="s">
        <v>97</v>
      </c>
      <c r="D135" s="12" t="s">
        <v>95</v>
      </c>
      <c r="E135" s="12" t="s">
        <v>96</v>
      </c>
      <c r="F135" s="12" t="s">
        <v>12</v>
      </c>
      <c r="G135" s="12" t="s">
        <v>68</v>
      </c>
      <c r="H135" s="12" t="s">
        <v>69</v>
      </c>
      <c r="I135" s="14">
        <v>90</v>
      </c>
      <c r="J135" s="14">
        <v>200</v>
      </c>
      <c r="K135" s="14">
        <v>30</v>
      </c>
      <c r="L135" s="14">
        <v>86</v>
      </c>
      <c r="M135" s="14">
        <v>234</v>
      </c>
      <c r="N135" s="14">
        <v>53</v>
      </c>
    </row>
    <row r="136" spans="1:14" ht="18" x14ac:dyDescent="0.35">
      <c r="A136" s="9">
        <v>314</v>
      </c>
      <c r="B136" s="2">
        <v>44562</v>
      </c>
      <c r="C136" s="12" t="s">
        <v>97</v>
      </c>
      <c r="D136" s="12" t="s">
        <v>95</v>
      </c>
      <c r="E136" s="12" t="s">
        <v>96</v>
      </c>
      <c r="F136" s="12" t="s">
        <v>86</v>
      </c>
      <c r="G136" s="12" t="s">
        <v>68</v>
      </c>
      <c r="H136" s="12" t="s">
        <v>69</v>
      </c>
      <c r="I136" s="14">
        <v>-20</v>
      </c>
      <c r="J136" s="14">
        <v>80</v>
      </c>
      <c r="K136" s="14">
        <v>27</v>
      </c>
      <c r="L136" s="14">
        <v>-39</v>
      </c>
      <c r="M136" s="14">
        <v>99</v>
      </c>
      <c r="N136" s="14">
        <v>50</v>
      </c>
    </row>
    <row r="137" spans="1:14" ht="18" x14ac:dyDescent="0.35">
      <c r="A137" s="9">
        <v>715</v>
      </c>
      <c r="B137" s="2">
        <v>44562</v>
      </c>
      <c r="C137" s="12" t="s">
        <v>97</v>
      </c>
      <c r="D137" s="12" t="s">
        <v>95</v>
      </c>
      <c r="E137" s="12" t="s">
        <v>96</v>
      </c>
      <c r="F137" s="12" t="s">
        <v>87</v>
      </c>
      <c r="G137" s="12" t="s">
        <v>68</v>
      </c>
      <c r="H137" s="12" t="s">
        <v>69</v>
      </c>
      <c r="I137" s="14">
        <v>50</v>
      </c>
      <c r="J137" s="14">
        <v>70</v>
      </c>
      <c r="K137" s="14">
        <v>9</v>
      </c>
      <c r="L137" s="14">
        <v>28</v>
      </c>
      <c r="M137" s="14">
        <v>81</v>
      </c>
      <c r="N137" s="14">
        <v>20</v>
      </c>
    </row>
    <row r="138" spans="1:14" ht="18" x14ac:dyDescent="0.35">
      <c r="A138" s="9">
        <v>860</v>
      </c>
      <c r="B138" s="2">
        <v>44562</v>
      </c>
      <c r="C138" s="12" t="s">
        <v>97</v>
      </c>
      <c r="D138" s="12" t="s">
        <v>95</v>
      </c>
      <c r="E138" s="12" t="s">
        <v>96</v>
      </c>
      <c r="F138" s="12" t="s">
        <v>93</v>
      </c>
      <c r="G138" s="12" t="s">
        <v>72</v>
      </c>
      <c r="H138" s="12" t="s">
        <v>69</v>
      </c>
      <c r="I138" s="14">
        <v>40</v>
      </c>
      <c r="J138" s="14">
        <v>140</v>
      </c>
      <c r="K138" s="14">
        <v>32</v>
      </c>
      <c r="L138" s="14">
        <v>40</v>
      </c>
      <c r="M138" s="14">
        <v>190</v>
      </c>
      <c r="N138" s="14">
        <v>65</v>
      </c>
    </row>
    <row r="139" spans="1:14" ht="18" x14ac:dyDescent="0.35">
      <c r="A139" s="9">
        <v>603</v>
      </c>
      <c r="B139" s="2">
        <v>44562</v>
      </c>
      <c r="C139" s="12" t="s">
        <v>97</v>
      </c>
      <c r="D139" s="12" t="s">
        <v>95</v>
      </c>
      <c r="E139" s="12" t="s">
        <v>96</v>
      </c>
      <c r="F139" s="12" t="s">
        <v>18</v>
      </c>
      <c r="G139" s="12" t="s">
        <v>72</v>
      </c>
      <c r="H139" s="12" t="s">
        <v>69</v>
      </c>
      <c r="I139" s="14">
        <v>0</v>
      </c>
      <c r="J139" s="14">
        <v>50</v>
      </c>
      <c r="K139" s="14">
        <v>12</v>
      </c>
      <c r="L139" s="14">
        <v>-4</v>
      </c>
      <c r="M139" s="14">
        <v>76</v>
      </c>
      <c r="N139" s="14">
        <v>46</v>
      </c>
    </row>
    <row r="140" spans="1:14" ht="18" x14ac:dyDescent="0.35">
      <c r="A140" s="9">
        <v>475</v>
      </c>
      <c r="B140" s="2">
        <v>44562</v>
      </c>
      <c r="C140" s="12" t="s">
        <v>98</v>
      </c>
      <c r="D140" s="12" t="s">
        <v>95</v>
      </c>
      <c r="E140" s="12" t="s">
        <v>96</v>
      </c>
      <c r="F140" s="12" t="s">
        <v>93</v>
      </c>
      <c r="G140" s="12" t="s">
        <v>72</v>
      </c>
      <c r="H140" s="12" t="s">
        <v>69</v>
      </c>
      <c r="I140" s="14">
        <v>50</v>
      </c>
      <c r="J140" s="14">
        <v>130</v>
      </c>
      <c r="K140" s="14">
        <v>24</v>
      </c>
      <c r="L140" s="14">
        <v>47</v>
      </c>
      <c r="M140" s="14">
        <v>170</v>
      </c>
      <c r="N140" s="14">
        <v>45</v>
      </c>
    </row>
    <row r="141" spans="1:14" ht="18" x14ac:dyDescent="0.35">
      <c r="A141" s="9">
        <v>337</v>
      </c>
      <c r="B141" s="2">
        <v>44562</v>
      </c>
      <c r="C141" s="12" t="s">
        <v>94</v>
      </c>
      <c r="D141" s="12" t="s">
        <v>95</v>
      </c>
      <c r="E141" s="12" t="s">
        <v>96</v>
      </c>
      <c r="F141" s="12" t="s">
        <v>88</v>
      </c>
      <c r="G141" s="12" t="s">
        <v>74</v>
      </c>
      <c r="H141" s="12" t="s">
        <v>69</v>
      </c>
      <c r="I141" s="14">
        <v>40</v>
      </c>
      <c r="J141" s="14">
        <v>100</v>
      </c>
      <c r="K141" s="14">
        <v>16</v>
      </c>
      <c r="L141" s="14">
        <v>35</v>
      </c>
      <c r="M141" s="14">
        <v>112</v>
      </c>
      <c r="N141" s="14">
        <v>28</v>
      </c>
    </row>
    <row r="142" spans="1:14" ht="18" x14ac:dyDescent="0.35">
      <c r="A142" s="9">
        <v>505</v>
      </c>
      <c r="B142" s="2">
        <v>44562</v>
      </c>
      <c r="C142" s="12" t="s">
        <v>94</v>
      </c>
      <c r="D142" s="12" t="s">
        <v>95</v>
      </c>
      <c r="E142" s="12" t="s">
        <v>96</v>
      </c>
      <c r="F142" s="12" t="s">
        <v>24</v>
      </c>
      <c r="G142" s="12" t="s">
        <v>74</v>
      </c>
      <c r="H142" s="12" t="s">
        <v>69</v>
      </c>
      <c r="I142" s="14">
        <v>20</v>
      </c>
      <c r="J142" s="14">
        <v>40</v>
      </c>
      <c r="K142" s="14">
        <v>5</v>
      </c>
      <c r="L142" s="14">
        <v>11</v>
      </c>
      <c r="M142" s="14">
        <v>45</v>
      </c>
      <c r="N142" s="14">
        <v>16</v>
      </c>
    </row>
    <row r="143" spans="1:14" ht="18" x14ac:dyDescent="0.35">
      <c r="A143" s="9">
        <v>918</v>
      </c>
      <c r="B143" s="2">
        <v>44562</v>
      </c>
      <c r="C143" s="12" t="s">
        <v>94</v>
      </c>
      <c r="D143" s="12" t="s">
        <v>95</v>
      </c>
      <c r="E143" s="12" t="s">
        <v>96</v>
      </c>
      <c r="F143" s="12" t="s">
        <v>89</v>
      </c>
      <c r="G143" s="12" t="s">
        <v>74</v>
      </c>
      <c r="H143" s="12" t="s">
        <v>69</v>
      </c>
      <c r="I143" s="14">
        <v>20</v>
      </c>
      <c r="J143" s="14">
        <v>110</v>
      </c>
      <c r="K143" s="14">
        <v>20</v>
      </c>
      <c r="L143" s="14">
        <v>13</v>
      </c>
      <c r="M143" s="14">
        <v>120</v>
      </c>
      <c r="N143" s="14">
        <v>53</v>
      </c>
    </row>
    <row r="144" spans="1:14" ht="18" x14ac:dyDescent="0.35">
      <c r="A144" s="9">
        <v>504</v>
      </c>
      <c r="B144" s="2">
        <v>44562</v>
      </c>
      <c r="C144" s="12" t="s">
        <v>97</v>
      </c>
      <c r="D144" s="12" t="s">
        <v>95</v>
      </c>
      <c r="E144" s="12" t="s">
        <v>96</v>
      </c>
      <c r="F144" s="12" t="s">
        <v>88</v>
      </c>
      <c r="G144" s="12" t="s">
        <v>74</v>
      </c>
      <c r="H144" s="12" t="s">
        <v>69</v>
      </c>
      <c r="I144" s="14">
        <v>40</v>
      </c>
      <c r="J144" s="14">
        <v>180</v>
      </c>
      <c r="K144" s="14">
        <v>32</v>
      </c>
      <c r="L144" s="14">
        <v>40</v>
      </c>
      <c r="M144" s="14">
        <v>190</v>
      </c>
      <c r="N144" s="14">
        <v>65</v>
      </c>
    </row>
    <row r="145" spans="1:14" ht="18" x14ac:dyDescent="0.35">
      <c r="A145" s="9">
        <v>505</v>
      </c>
      <c r="B145" s="2">
        <v>44562</v>
      </c>
      <c r="C145" s="12" t="s">
        <v>97</v>
      </c>
      <c r="D145" s="12" t="s">
        <v>95</v>
      </c>
      <c r="E145" s="12" t="s">
        <v>96</v>
      </c>
      <c r="F145" s="12" t="s">
        <v>24</v>
      </c>
      <c r="G145" s="12" t="s">
        <v>74</v>
      </c>
      <c r="H145" s="12" t="s">
        <v>69</v>
      </c>
      <c r="I145" s="14">
        <v>20</v>
      </c>
      <c r="J145" s="14">
        <v>60</v>
      </c>
      <c r="K145" s="14">
        <v>8</v>
      </c>
      <c r="L145" s="14">
        <v>4</v>
      </c>
      <c r="M145" s="14">
        <v>62</v>
      </c>
      <c r="N145" s="14">
        <v>30</v>
      </c>
    </row>
    <row r="146" spans="1:14" ht="18" x14ac:dyDescent="0.35">
      <c r="A146" s="9">
        <v>580</v>
      </c>
      <c r="B146" s="2">
        <v>44562</v>
      </c>
      <c r="C146" s="12" t="s">
        <v>97</v>
      </c>
      <c r="D146" s="12" t="s">
        <v>95</v>
      </c>
      <c r="E146" s="12" t="s">
        <v>96</v>
      </c>
      <c r="F146" s="12" t="s">
        <v>89</v>
      </c>
      <c r="G146" s="12" t="s">
        <v>74</v>
      </c>
      <c r="H146" s="12" t="s">
        <v>69</v>
      </c>
      <c r="I146" s="14">
        <v>30</v>
      </c>
      <c r="J146" s="14">
        <v>180</v>
      </c>
      <c r="K146" s="14">
        <v>72</v>
      </c>
      <c r="L146" s="14">
        <v>10</v>
      </c>
      <c r="M146" s="14">
        <v>190</v>
      </c>
      <c r="N146" s="14">
        <v>101</v>
      </c>
    </row>
    <row r="147" spans="1:14" ht="18" x14ac:dyDescent="0.35">
      <c r="A147" s="9">
        <v>702</v>
      </c>
      <c r="B147" s="2">
        <v>44562</v>
      </c>
      <c r="C147" s="12" t="s">
        <v>94</v>
      </c>
      <c r="D147" s="12" t="s">
        <v>95</v>
      </c>
      <c r="E147" s="12" t="s">
        <v>96</v>
      </c>
      <c r="F147" s="12" t="s">
        <v>15</v>
      </c>
      <c r="G147" s="12" t="s">
        <v>76</v>
      </c>
      <c r="H147" s="12" t="s">
        <v>69</v>
      </c>
      <c r="I147" s="14">
        <v>30</v>
      </c>
      <c r="J147" s="14">
        <v>220</v>
      </c>
      <c r="K147" s="14">
        <v>95</v>
      </c>
      <c r="L147" s="14">
        <v>16</v>
      </c>
      <c r="M147" s="14">
        <v>250</v>
      </c>
      <c r="N147" s="14">
        <v>129</v>
      </c>
    </row>
    <row r="148" spans="1:14" ht="18" x14ac:dyDescent="0.35">
      <c r="A148" s="9">
        <v>971</v>
      </c>
      <c r="B148" s="2">
        <v>44562</v>
      </c>
      <c r="C148" s="12" t="s">
        <v>94</v>
      </c>
      <c r="D148" s="12" t="s">
        <v>95</v>
      </c>
      <c r="E148" s="12" t="s">
        <v>96</v>
      </c>
      <c r="F148" s="12" t="s">
        <v>90</v>
      </c>
      <c r="G148" s="12" t="s">
        <v>76</v>
      </c>
      <c r="H148" s="12" t="s">
        <v>69</v>
      </c>
      <c r="I148" s="14">
        <v>40</v>
      </c>
      <c r="J148" s="14">
        <v>70</v>
      </c>
      <c r="K148" s="14">
        <v>10</v>
      </c>
      <c r="L148" s="14">
        <v>33</v>
      </c>
      <c r="M148" s="14">
        <v>90</v>
      </c>
      <c r="N148" s="14">
        <v>21</v>
      </c>
    </row>
    <row r="149" spans="1:14" ht="18" x14ac:dyDescent="0.35">
      <c r="A149" s="9">
        <v>801</v>
      </c>
      <c r="B149" s="2">
        <v>44562</v>
      </c>
      <c r="C149" s="12" t="s">
        <v>94</v>
      </c>
      <c r="D149" s="12" t="s">
        <v>95</v>
      </c>
      <c r="E149" s="12" t="s">
        <v>96</v>
      </c>
      <c r="F149" s="12" t="s">
        <v>91</v>
      </c>
      <c r="G149" s="12" t="s">
        <v>76</v>
      </c>
      <c r="H149" s="12" t="s">
        <v>69</v>
      </c>
      <c r="I149" s="14">
        <v>30</v>
      </c>
      <c r="J149" s="14">
        <v>80</v>
      </c>
      <c r="K149" s="14">
        <v>12</v>
      </c>
      <c r="L149" s="14">
        <v>21</v>
      </c>
      <c r="M149" s="14">
        <v>93</v>
      </c>
      <c r="N149" s="14">
        <v>34</v>
      </c>
    </row>
    <row r="150" spans="1:14" ht="18" x14ac:dyDescent="0.35">
      <c r="A150" s="9">
        <v>206</v>
      </c>
      <c r="B150" s="2">
        <v>44562</v>
      </c>
      <c r="C150" s="12" t="s">
        <v>94</v>
      </c>
      <c r="D150" s="12" t="s">
        <v>95</v>
      </c>
      <c r="E150" s="12" t="s">
        <v>96</v>
      </c>
      <c r="F150" s="12" t="s">
        <v>92</v>
      </c>
      <c r="G150" s="12" t="s">
        <v>76</v>
      </c>
      <c r="H150" s="12" t="s">
        <v>69</v>
      </c>
      <c r="I150" s="14">
        <v>120</v>
      </c>
      <c r="J150" s="14">
        <v>270</v>
      </c>
      <c r="K150" s="14">
        <v>40</v>
      </c>
      <c r="L150" s="14">
        <v>115</v>
      </c>
      <c r="M150" s="14">
        <v>310</v>
      </c>
      <c r="N150" s="14">
        <v>71</v>
      </c>
    </row>
    <row r="151" spans="1:14" ht="18" x14ac:dyDescent="0.35">
      <c r="A151" s="9">
        <v>775</v>
      </c>
      <c r="B151" s="2">
        <v>44562</v>
      </c>
      <c r="C151" s="12" t="s">
        <v>97</v>
      </c>
      <c r="D151" s="12" t="s">
        <v>95</v>
      </c>
      <c r="E151" s="12" t="s">
        <v>96</v>
      </c>
      <c r="F151" s="12" t="s">
        <v>15</v>
      </c>
      <c r="G151" s="12" t="s">
        <v>76</v>
      </c>
      <c r="H151" s="12" t="s">
        <v>69</v>
      </c>
      <c r="I151" s="14">
        <v>120</v>
      </c>
      <c r="J151" s="14">
        <v>300</v>
      </c>
      <c r="K151" s="14">
        <v>47</v>
      </c>
      <c r="L151" s="14">
        <v>111</v>
      </c>
      <c r="M151" s="14">
        <v>345</v>
      </c>
      <c r="N151" s="14">
        <v>90</v>
      </c>
    </row>
    <row r="152" spans="1:14" ht="18" x14ac:dyDescent="0.35">
      <c r="A152" s="9">
        <v>503</v>
      </c>
      <c r="B152" s="2">
        <v>44562</v>
      </c>
      <c r="C152" s="12" t="s">
        <v>97</v>
      </c>
      <c r="D152" s="12" t="s">
        <v>95</v>
      </c>
      <c r="E152" s="12" t="s">
        <v>96</v>
      </c>
      <c r="F152" s="12" t="s">
        <v>90</v>
      </c>
      <c r="G152" s="12" t="s">
        <v>76</v>
      </c>
      <c r="H152" s="12" t="s">
        <v>69</v>
      </c>
      <c r="I152" s="14">
        <v>30</v>
      </c>
      <c r="J152" s="14">
        <v>80</v>
      </c>
      <c r="K152" s="14">
        <v>14</v>
      </c>
      <c r="L152" s="14">
        <v>29</v>
      </c>
      <c r="M152" s="14">
        <v>100</v>
      </c>
      <c r="N152" s="14">
        <v>27</v>
      </c>
    </row>
    <row r="153" spans="1:14" ht="18" x14ac:dyDescent="0.35">
      <c r="A153" s="9">
        <v>435</v>
      </c>
      <c r="B153" s="2">
        <v>44562</v>
      </c>
      <c r="C153" s="12" t="s">
        <v>97</v>
      </c>
      <c r="D153" s="12" t="s">
        <v>95</v>
      </c>
      <c r="E153" s="12" t="s">
        <v>96</v>
      </c>
      <c r="F153" s="12" t="s">
        <v>91</v>
      </c>
      <c r="G153" s="12" t="s">
        <v>76</v>
      </c>
      <c r="H153" s="12" t="s">
        <v>69</v>
      </c>
      <c r="I153" s="14">
        <v>30</v>
      </c>
      <c r="J153" s="14">
        <v>100</v>
      </c>
      <c r="K153" s="14">
        <v>15</v>
      </c>
      <c r="L153" s="14">
        <v>25</v>
      </c>
      <c r="M153" s="14">
        <v>120</v>
      </c>
      <c r="N153" s="14">
        <v>47</v>
      </c>
    </row>
    <row r="154" spans="1:14" ht="18" x14ac:dyDescent="0.35">
      <c r="A154" s="9">
        <v>360</v>
      </c>
      <c r="B154" s="2">
        <v>44562</v>
      </c>
      <c r="C154" s="12" t="s">
        <v>97</v>
      </c>
      <c r="D154" s="12" t="s">
        <v>95</v>
      </c>
      <c r="E154" s="12" t="s">
        <v>96</v>
      </c>
      <c r="F154" s="12" t="s">
        <v>92</v>
      </c>
      <c r="G154" s="12" t="s">
        <v>76</v>
      </c>
      <c r="H154" s="12" t="s">
        <v>69</v>
      </c>
      <c r="I154" s="14">
        <v>50</v>
      </c>
      <c r="J154" s="14">
        <v>70</v>
      </c>
      <c r="K154" s="14">
        <v>9</v>
      </c>
      <c r="L154" s="14">
        <v>30</v>
      </c>
      <c r="M154" s="14">
        <v>85</v>
      </c>
      <c r="N154" s="14">
        <v>21</v>
      </c>
    </row>
    <row r="155" spans="1:14" ht="18" x14ac:dyDescent="0.35">
      <c r="A155" s="9">
        <v>702</v>
      </c>
      <c r="B155" s="2">
        <v>44562</v>
      </c>
      <c r="C155" s="12" t="s">
        <v>98</v>
      </c>
      <c r="D155" s="12" t="s">
        <v>95</v>
      </c>
      <c r="E155" s="12" t="s">
        <v>96</v>
      </c>
      <c r="F155" s="12" t="s">
        <v>15</v>
      </c>
      <c r="G155" s="12" t="s">
        <v>76</v>
      </c>
      <c r="H155" s="12" t="s">
        <v>69</v>
      </c>
      <c r="I155" s="14">
        <v>90</v>
      </c>
      <c r="J155" s="14">
        <v>200</v>
      </c>
      <c r="K155" s="14">
        <v>30</v>
      </c>
      <c r="L155" s="14">
        <v>86</v>
      </c>
      <c r="M155" s="14">
        <v>234</v>
      </c>
      <c r="N155" s="14">
        <v>53</v>
      </c>
    </row>
    <row r="156" spans="1:14" ht="18" x14ac:dyDescent="0.35">
      <c r="A156" s="9">
        <v>435</v>
      </c>
      <c r="B156" s="2">
        <v>44562</v>
      </c>
      <c r="C156" s="12" t="s">
        <v>98</v>
      </c>
      <c r="D156" s="12" t="s">
        <v>95</v>
      </c>
      <c r="E156" s="12" t="s">
        <v>96</v>
      </c>
      <c r="F156" s="12" t="s">
        <v>91</v>
      </c>
      <c r="G156" s="12" t="s">
        <v>76</v>
      </c>
      <c r="H156" s="12" t="s">
        <v>69</v>
      </c>
      <c r="I156" s="14">
        <v>-30</v>
      </c>
      <c r="J156" s="14">
        <v>80</v>
      </c>
      <c r="K156" s="14">
        <v>27</v>
      </c>
      <c r="L156" s="14">
        <v>-40</v>
      </c>
      <c r="M156" s="14">
        <v>99</v>
      </c>
      <c r="N156" s="14">
        <v>51</v>
      </c>
    </row>
    <row r="157" spans="1:14" ht="18" x14ac:dyDescent="0.35">
      <c r="A157" s="9">
        <v>712</v>
      </c>
      <c r="B157" s="2">
        <v>44562</v>
      </c>
      <c r="C157" s="12" t="s">
        <v>99</v>
      </c>
      <c r="D157" s="12" t="s">
        <v>95</v>
      </c>
      <c r="E157" s="12" t="s">
        <v>100</v>
      </c>
      <c r="F157" s="12" t="s">
        <v>12</v>
      </c>
      <c r="G157" s="12" t="s">
        <v>68</v>
      </c>
      <c r="H157" s="12" t="s">
        <v>80</v>
      </c>
      <c r="I157" s="14">
        <v>140</v>
      </c>
      <c r="J157" s="14">
        <v>400</v>
      </c>
      <c r="K157" s="14">
        <v>63</v>
      </c>
      <c r="L157" s="14">
        <v>141</v>
      </c>
      <c r="M157" s="14">
        <v>456</v>
      </c>
      <c r="N157" s="14">
        <v>87</v>
      </c>
    </row>
    <row r="158" spans="1:14" ht="18" x14ac:dyDescent="0.35">
      <c r="A158" s="9">
        <v>314</v>
      </c>
      <c r="B158" s="2">
        <v>44562</v>
      </c>
      <c r="C158" s="12" t="s">
        <v>99</v>
      </c>
      <c r="D158" s="12" t="s">
        <v>95</v>
      </c>
      <c r="E158" s="12" t="s">
        <v>100</v>
      </c>
      <c r="F158" s="12" t="s">
        <v>86</v>
      </c>
      <c r="G158" s="12" t="s">
        <v>68</v>
      </c>
      <c r="H158" s="12" t="s">
        <v>80</v>
      </c>
      <c r="I158" s="14">
        <v>10</v>
      </c>
      <c r="J158" s="14">
        <v>70</v>
      </c>
      <c r="K158" s="14">
        <v>11</v>
      </c>
      <c r="L158" s="14">
        <v>9</v>
      </c>
      <c r="M158" s="14">
        <v>82</v>
      </c>
      <c r="N158" s="14">
        <v>38</v>
      </c>
    </row>
    <row r="159" spans="1:14" ht="18" x14ac:dyDescent="0.35">
      <c r="A159" s="9">
        <v>608</v>
      </c>
      <c r="B159" s="2">
        <v>44562</v>
      </c>
      <c r="C159" s="12" t="s">
        <v>99</v>
      </c>
      <c r="D159" s="12" t="s">
        <v>95</v>
      </c>
      <c r="E159" s="12" t="s">
        <v>100</v>
      </c>
      <c r="F159" s="12" t="s">
        <v>87</v>
      </c>
      <c r="G159" s="12" t="s">
        <v>68</v>
      </c>
      <c r="H159" s="12" t="s">
        <v>80</v>
      </c>
      <c r="I159" s="14">
        <v>50</v>
      </c>
      <c r="J159" s="14">
        <v>130</v>
      </c>
      <c r="K159" s="14">
        <v>19</v>
      </c>
      <c r="L159" s="14">
        <v>47</v>
      </c>
      <c r="M159" s="14">
        <v>150</v>
      </c>
      <c r="N159" s="14">
        <v>42</v>
      </c>
    </row>
    <row r="160" spans="1:14" ht="18" x14ac:dyDescent="0.35">
      <c r="A160" s="9">
        <v>319</v>
      </c>
      <c r="B160" s="2">
        <v>44562</v>
      </c>
      <c r="C160" s="12" t="s">
        <v>101</v>
      </c>
      <c r="D160" s="12" t="s">
        <v>95</v>
      </c>
      <c r="E160" s="12" t="s">
        <v>100</v>
      </c>
      <c r="F160" s="12" t="s">
        <v>12</v>
      </c>
      <c r="G160" s="12" t="s">
        <v>68</v>
      </c>
      <c r="H160" s="12" t="s">
        <v>80</v>
      </c>
      <c r="I160" s="14">
        <v>160</v>
      </c>
      <c r="J160" s="14">
        <v>480</v>
      </c>
      <c r="K160" s="14">
        <v>93</v>
      </c>
      <c r="L160" s="14">
        <v>175</v>
      </c>
      <c r="M160" s="14">
        <v>546</v>
      </c>
      <c r="N160" s="14">
        <v>126</v>
      </c>
    </row>
    <row r="161" spans="1:14" ht="18" x14ac:dyDescent="0.35">
      <c r="A161" s="9">
        <v>573</v>
      </c>
      <c r="B161" s="2">
        <v>44562</v>
      </c>
      <c r="C161" s="12" t="s">
        <v>101</v>
      </c>
      <c r="D161" s="12" t="s">
        <v>95</v>
      </c>
      <c r="E161" s="12" t="s">
        <v>100</v>
      </c>
      <c r="F161" s="12" t="s">
        <v>86</v>
      </c>
      <c r="G161" s="12" t="s">
        <v>68</v>
      </c>
      <c r="H161" s="12" t="s">
        <v>80</v>
      </c>
      <c r="I161" s="14">
        <v>-10</v>
      </c>
      <c r="J161" s="14">
        <v>50</v>
      </c>
      <c r="K161" s="14">
        <v>11</v>
      </c>
      <c r="L161" s="14">
        <v>-9</v>
      </c>
      <c r="M161" s="14">
        <v>65</v>
      </c>
      <c r="N161" s="14">
        <v>45</v>
      </c>
    </row>
    <row r="162" spans="1:14" ht="18" x14ac:dyDescent="0.35">
      <c r="A162" s="9">
        <v>262</v>
      </c>
      <c r="B162" s="2">
        <v>44562</v>
      </c>
      <c r="C162" s="12" t="s">
        <v>101</v>
      </c>
      <c r="D162" s="12" t="s">
        <v>95</v>
      </c>
      <c r="E162" s="12" t="s">
        <v>100</v>
      </c>
      <c r="F162" s="12" t="s">
        <v>87</v>
      </c>
      <c r="G162" s="12" t="s">
        <v>68</v>
      </c>
      <c r="H162" s="12" t="s">
        <v>80</v>
      </c>
      <c r="I162" s="14">
        <v>10</v>
      </c>
      <c r="J162" s="14">
        <v>150</v>
      </c>
      <c r="K162" s="14">
        <v>68</v>
      </c>
      <c r="L162" s="14">
        <v>7</v>
      </c>
      <c r="M162" s="14">
        <v>180</v>
      </c>
      <c r="N162" s="14">
        <v>98</v>
      </c>
    </row>
    <row r="163" spans="1:14" ht="18" x14ac:dyDescent="0.35">
      <c r="A163" s="9">
        <v>417</v>
      </c>
      <c r="B163" s="2">
        <v>44562</v>
      </c>
      <c r="C163" s="12" t="s">
        <v>102</v>
      </c>
      <c r="D163" s="12" t="s">
        <v>95</v>
      </c>
      <c r="E163" s="12" t="s">
        <v>100</v>
      </c>
      <c r="F163" s="12" t="s">
        <v>86</v>
      </c>
      <c r="G163" s="12" t="s">
        <v>68</v>
      </c>
      <c r="H163" s="12" t="s">
        <v>80</v>
      </c>
      <c r="I163" s="14">
        <v>0</v>
      </c>
      <c r="J163" s="14">
        <v>60</v>
      </c>
      <c r="K163" s="14">
        <v>12</v>
      </c>
      <c r="L163" s="14">
        <v>-4</v>
      </c>
      <c r="M163" s="14">
        <v>76</v>
      </c>
      <c r="N163" s="14">
        <v>46</v>
      </c>
    </row>
    <row r="164" spans="1:14" ht="18" x14ac:dyDescent="0.35">
      <c r="A164" s="9">
        <v>475</v>
      </c>
      <c r="B164" s="2">
        <v>44562</v>
      </c>
      <c r="C164" s="12" t="s">
        <v>99</v>
      </c>
      <c r="D164" s="12" t="s">
        <v>95</v>
      </c>
      <c r="E164" s="12" t="s">
        <v>100</v>
      </c>
      <c r="F164" s="12" t="s">
        <v>93</v>
      </c>
      <c r="G164" s="12" t="s">
        <v>72</v>
      </c>
      <c r="H164" s="12" t="s">
        <v>80</v>
      </c>
      <c r="I164" s="14">
        <v>60</v>
      </c>
      <c r="J164" s="14">
        <v>130</v>
      </c>
      <c r="K164" s="14">
        <v>14</v>
      </c>
      <c r="L164" s="14">
        <v>47</v>
      </c>
      <c r="M164" s="14">
        <v>123</v>
      </c>
      <c r="N164" s="14">
        <v>26</v>
      </c>
    </row>
    <row r="165" spans="1:14" ht="18" x14ac:dyDescent="0.35">
      <c r="A165" s="9">
        <v>603</v>
      </c>
      <c r="B165" s="2">
        <v>44562</v>
      </c>
      <c r="C165" s="12" t="s">
        <v>99</v>
      </c>
      <c r="D165" s="12" t="s">
        <v>95</v>
      </c>
      <c r="E165" s="12" t="s">
        <v>100</v>
      </c>
      <c r="F165" s="12" t="s">
        <v>18</v>
      </c>
      <c r="G165" s="12" t="s">
        <v>72</v>
      </c>
      <c r="H165" s="12" t="s">
        <v>80</v>
      </c>
      <c r="I165" s="14">
        <v>20</v>
      </c>
      <c r="J165" s="14">
        <v>40</v>
      </c>
      <c r="K165" s="14">
        <v>5</v>
      </c>
      <c r="L165" s="14">
        <v>10</v>
      </c>
      <c r="M165" s="14">
        <v>45</v>
      </c>
      <c r="N165" s="14">
        <v>17</v>
      </c>
    </row>
    <row r="166" spans="1:14" ht="18" x14ac:dyDescent="0.35">
      <c r="A166" s="9">
        <v>475</v>
      </c>
      <c r="B166" s="2">
        <v>44562</v>
      </c>
      <c r="C166" s="12" t="s">
        <v>102</v>
      </c>
      <c r="D166" s="12" t="s">
        <v>95</v>
      </c>
      <c r="E166" s="12" t="s">
        <v>100</v>
      </c>
      <c r="F166" s="12" t="s">
        <v>93</v>
      </c>
      <c r="G166" s="12" t="s">
        <v>72</v>
      </c>
      <c r="H166" s="12" t="s">
        <v>80</v>
      </c>
      <c r="I166" s="14">
        <v>40</v>
      </c>
      <c r="J166" s="14">
        <v>100</v>
      </c>
      <c r="K166" s="14">
        <v>10</v>
      </c>
      <c r="L166" s="14">
        <v>35</v>
      </c>
      <c r="M166" s="14">
        <v>94</v>
      </c>
      <c r="N166" s="14">
        <v>21</v>
      </c>
    </row>
    <row r="167" spans="1:14" ht="18" x14ac:dyDescent="0.35">
      <c r="A167" s="9">
        <v>603</v>
      </c>
      <c r="B167" s="2">
        <v>44562</v>
      </c>
      <c r="C167" s="12" t="s">
        <v>102</v>
      </c>
      <c r="D167" s="12" t="s">
        <v>95</v>
      </c>
      <c r="E167" s="12" t="s">
        <v>100</v>
      </c>
      <c r="F167" s="12" t="s">
        <v>18</v>
      </c>
      <c r="G167" s="12" t="s">
        <v>72</v>
      </c>
      <c r="H167" s="12" t="s">
        <v>80</v>
      </c>
      <c r="I167" s="14">
        <v>20</v>
      </c>
      <c r="J167" s="14">
        <v>40</v>
      </c>
      <c r="K167" s="14">
        <v>4</v>
      </c>
      <c r="L167" s="14">
        <v>11</v>
      </c>
      <c r="M167" s="14">
        <v>43</v>
      </c>
      <c r="N167" s="14">
        <v>15</v>
      </c>
    </row>
    <row r="168" spans="1:14" ht="18" x14ac:dyDescent="0.35">
      <c r="A168" s="9">
        <v>775</v>
      </c>
      <c r="B168" s="2">
        <v>44562</v>
      </c>
      <c r="C168" s="12" t="s">
        <v>99</v>
      </c>
      <c r="D168" s="12" t="s">
        <v>95</v>
      </c>
      <c r="E168" s="12" t="s">
        <v>100</v>
      </c>
      <c r="F168" s="12" t="s">
        <v>15</v>
      </c>
      <c r="G168" s="12" t="s">
        <v>76</v>
      </c>
      <c r="H168" s="12" t="s">
        <v>80</v>
      </c>
      <c r="I168" s="14">
        <v>150</v>
      </c>
      <c r="J168" s="14">
        <v>370</v>
      </c>
      <c r="K168" s="14">
        <v>77</v>
      </c>
      <c r="L168" s="14">
        <v>203</v>
      </c>
      <c r="M168" s="14">
        <v>546</v>
      </c>
      <c r="N168" s="14">
        <v>109</v>
      </c>
    </row>
    <row r="169" spans="1:14" ht="18" x14ac:dyDescent="0.35">
      <c r="A169" s="9">
        <v>971</v>
      </c>
      <c r="B169" s="2">
        <v>44562</v>
      </c>
      <c r="C169" s="12" t="s">
        <v>99</v>
      </c>
      <c r="D169" s="12" t="s">
        <v>95</v>
      </c>
      <c r="E169" s="12" t="s">
        <v>100</v>
      </c>
      <c r="F169" s="12" t="s">
        <v>90</v>
      </c>
      <c r="G169" s="12" t="s">
        <v>76</v>
      </c>
      <c r="H169" s="12" t="s">
        <v>80</v>
      </c>
      <c r="I169" s="14">
        <v>30</v>
      </c>
      <c r="J169" s="14">
        <v>50</v>
      </c>
      <c r="K169" s="14">
        <v>8</v>
      </c>
      <c r="L169" s="14">
        <v>28</v>
      </c>
      <c r="M169" s="14">
        <v>80</v>
      </c>
      <c r="N169" s="14">
        <v>20</v>
      </c>
    </row>
    <row r="170" spans="1:14" ht="18" x14ac:dyDescent="0.35">
      <c r="A170" s="9">
        <v>435</v>
      </c>
      <c r="B170" s="2">
        <v>44562</v>
      </c>
      <c r="C170" s="12" t="s">
        <v>99</v>
      </c>
      <c r="D170" s="12" t="s">
        <v>95</v>
      </c>
      <c r="E170" s="12" t="s">
        <v>100</v>
      </c>
      <c r="F170" s="12" t="s">
        <v>91</v>
      </c>
      <c r="G170" s="12" t="s">
        <v>76</v>
      </c>
      <c r="H170" s="12" t="s">
        <v>80</v>
      </c>
      <c r="I170" s="14">
        <v>0</v>
      </c>
      <c r="J170" s="14">
        <v>60</v>
      </c>
      <c r="K170" s="14">
        <v>34</v>
      </c>
      <c r="L170" s="14">
        <v>-10</v>
      </c>
      <c r="M170" s="14">
        <v>90</v>
      </c>
      <c r="N170" s="14">
        <v>63</v>
      </c>
    </row>
    <row r="171" spans="1:14" ht="18" x14ac:dyDescent="0.35">
      <c r="A171" s="9">
        <v>360</v>
      </c>
      <c r="B171" s="2">
        <v>44562</v>
      </c>
      <c r="C171" s="12" t="s">
        <v>99</v>
      </c>
      <c r="D171" s="12" t="s">
        <v>95</v>
      </c>
      <c r="E171" s="12" t="s">
        <v>100</v>
      </c>
      <c r="F171" s="12" t="s">
        <v>92</v>
      </c>
      <c r="G171" s="12" t="s">
        <v>76</v>
      </c>
      <c r="H171" s="12" t="s">
        <v>80</v>
      </c>
      <c r="I171" s="14">
        <v>50</v>
      </c>
      <c r="J171" s="14">
        <v>120</v>
      </c>
      <c r="K171" s="14">
        <v>20</v>
      </c>
      <c r="L171" s="14">
        <v>70</v>
      </c>
      <c r="M171" s="14">
        <v>180</v>
      </c>
      <c r="N171" s="14">
        <v>43</v>
      </c>
    </row>
    <row r="172" spans="1:14" ht="18" x14ac:dyDescent="0.35">
      <c r="A172" s="9">
        <v>775</v>
      </c>
      <c r="B172" s="2">
        <v>44562</v>
      </c>
      <c r="C172" s="12" t="s">
        <v>101</v>
      </c>
      <c r="D172" s="12" t="s">
        <v>95</v>
      </c>
      <c r="E172" s="12" t="s">
        <v>100</v>
      </c>
      <c r="F172" s="12" t="s">
        <v>15</v>
      </c>
      <c r="G172" s="12" t="s">
        <v>76</v>
      </c>
      <c r="H172" s="12" t="s">
        <v>80</v>
      </c>
      <c r="I172" s="14">
        <v>100</v>
      </c>
      <c r="J172" s="14">
        <v>310</v>
      </c>
      <c r="K172" s="14">
        <v>63</v>
      </c>
      <c r="L172" s="14">
        <v>141</v>
      </c>
      <c r="M172" s="14">
        <v>456</v>
      </c>
      <c r="N172" s="14">
        <v>87</v>
      </c>
    </row>
    <row r="173" spans="1:14" ht="18" x14ac:dyDescent="0.35">
      <c r="A173" s="9">
        <v>503</v>
      </c>
      <c r="B173" s="2">
        <v>44562</v>
      </c>
      <c r="C173" s="12" t="s">
        <v>101</v>
      </c>
      <c r="D173" s="12" t="s">
        <v>95</v>
      </c>
      <c r="E173" s="12" t="s">
        <v>100</v>
      </c>
      <c r="F173" s="12" t="s">
        <v>90</v>
      </c>
      <c r="G173" s="12" t="s">
        <v>76</v>
      </c>
      <c r="H173" s="12" t="s">
        <v>80</v>
      </c>
      <c r="I173" s="14">
        <v>60</v>
      </c>
      <c r="J173" s="14">
        <v>140</v>
      </c>
      <c r="K173" s="14">
        <v>27</v>
      </c>
      <c r="L173" s="14">
        <v>68</v>
      </c>
      <c r="M173" s="14">
        <v>210</v>
      </c>
      <c r="N173" s="14">
        <v>58</v>
      </c>
    </row>
    <row r="174" spans="1:14" ht="18" x14ac:dyDescent="0.35">
      <c r="A174" s="9">
        <v>435</v>
      </c>
      <c r="B174" s="2">
        <v>44562</v>
      </c>
      <c r="C174" s="12" t="s">
        <v>101</v>
      </c>
      <c r="D174" s="12" t="s">
        <v>95</v>
      </c>
      <c r="E174" s="12" t="s">
        <v>100</v>
      </c>
      <c r="F174" s="12" t="s">
        <v>91</v>
      </c>
      <c r="G174" s="12" t="s">
        <v>76</v>
      </c>
      <c r="H174" s="12" t="s">
        <v>80</v>
      </c>
      <c r="I174" s="14">
        <v>10</v>
      </c>
      <c r="J174" s="14">
        <v>50</v>
      </c>
      <c r="K174" s="14">
        <v>11</v>
      </c>
      <c r="L174" s="14">
        <v>9</v>
      </c>
      <c r="M174" s="14">
        <v>82</v>
      </c>
      <c r="N174" s="14">
        <v>38</v>
      </c>
    </row>
    <row r="175" spans="1:14" ht="18" x14ac:dyDescent="0.35">
      <c r="A175" s="9">
        <v>253</v>
      </c>
      <c r="B175" s="2">
        <v>44562</v>
      </c>
      <c r="C175" s="12" t="s">
        <v>101</v>
      </c>
      <c r="D175" s="12" t="s">
        <v>95</v>
      </c>
      <c r="E175" s="12" t="s">
        <v>100</v>
      </c>
      <c r="F175" s="12" t="s">
        <v>92</v>
      </c>
      <c r="G175" s="12" t="s">
        <v>76</v>
      </c>
      <c r="H175" s="12" t="s">
        <v>80</v>
      </c>
      <c r="I175" s="14">
        <v>40</v>
      </c>
      <c r="J175" s="14">
        <v>100</v>
      </c>
      <c r="K175" s="14">
        <v>19</v>
      </c>
      <c r="L175" s="14">
        <v>48</v>
      </c>
      <c r="M175" s="14">
        <v>150</v>
      </c>
      <c r="N175" s="14">
        <v>41</v>
      </c>
    </row>
    <row r="176" spans="1:14" ht="18" x14ac:dyDescent="0.35">
      <c r="A176" s="9">
        <v>702</v>
      </c>
      <c r="B176" s="2">
        <v>44562</v>
      </c>
      <c r="C176" s="12" t="s">
        <v>102</v>
      </c>
      <c r="D176" s="12" t="s">
        <v>95</v>
      </c>
      <c r="E176" s="12" t="s">
        <v>100</v>
      </c>
      <c r="F176" s="12" t="s">
        <v>15</v>
      </c>
      <c r="G176" s="12" t="s">
        <v>76</v>
      </c>
      <c r="H176" s="12" t="s">
        <v>80</v>
      </c>
      <c r="I176" s="14">
        <v>-240</v>
      </c>
      <c r="J176" s="14">
        <v>0</v>
      </c>
      <c r="K176" s="14">
        <v>93</v>
      </c>
      <c r="L176" s="14">
        <v>345</v>
      </c>
      <c r="M176" s="14">
        <v>17</v>
      </c>
      <c r="N176" s="14">
        <v>126</v>
      </c>
    </row>
    <row r="177" spans="1:14" ht="18" x14ac:dyDescent="0.35">
      <c r="A177" s="9">
        <v>541</v>
      </c>
      <c r="B177" s="2">
        <v>44562</v>
      </c>
      <c r="C177" s="12" t="s">
        <v>102</v>
      </c>
      <c r="D177" s="12" t="s">
        <v>95</v>
      </c>
      <c r="E177" s="12" t="s">
        <v>100</v>
      </c>
      <c r="F177" s="12" t="s">
        <v>90</v>
      </c>
      <c r="G177" s="12" t="s">
        <v>76</v>
      </c>
      <c r="H177" s="12" t="s">
        <v>80</v>
      </c>
      <c r="I177" s="14">
        <v>50</v>
      </c>
      <c r="J177" s="14">
        <v>130</v>
      </c>
      <c r="K177" s="14">
        <v>26</v>
      </c>
      <c r="L177" s="14">
        <v>67</v>
      </c>
      <c r="M177" s="14">
        <v>200</v>
      </c>
      <c r="N177" s="14">
        <v>49</v>
      </c>
    </row>
    <row r="178" spans="1:14" ht="18" x14ac:dyDescent="0.35">
      <c r="A178" s="9">
        <v>435</v>
      </c>
      <c r="B178" s="2">
        <v>44562</v>
      </c>
      <c r="C178" s="12" t="s">
        <v>102</v>
      </c>
      <c r="D178" s="12" t="s">
        <v>95</v>
      </c>
      <c r="E178" s="12" t="s">
        <v>100</v>
      </c>
      <c r="F178" s="12" t="s">
        <v>91</v>
      </c>
      <c r="G178" s="12" t="s">
        <v>76</v>
      </c>
      <c r="H178" s="12" t="s">
        <v>80</v>
      </c>
      <c r="I178" s="14">
        <v>10</v>
      </c>
      <c r="J178" s="14">
        <v>40</v>
      </c>
      <c r="K178" s="14">
        <v>11</v>
      </c>
      <c r="L178" s="14">
        <v>-9</v>
      </c>
      <c r="M178" s="14">
        <v>65</v>
      </c>
      <c r="N178" s="14">
        <v>45</v>
      </c>
    </row>
    <row r="179" spans="1:14" ht="18" x14ac:dyDescent="0.35">
      <c r="A179" s="9">
        <v>360</v>
      </c>
      <c r="B179" s="2">
        <v>44562</v>
      </c>
      <c r="C179" s="12" t="s">
        <v>102</v>
      </c>
      <c r="D179" s="12" t="s">
        <v>95</v>
      </c>
      <c r="E179" s="12" t="s">
        <v>100</v>
      </c>
      <c r="F179" s="12" t="s">
        <v>92</v>
      </c>
      <c r="G179" s="12" t="s">
        <v>76</v>
      </c>
      <c r="H179" s="12" t="s">
        <v>80</v>
      </c>
      <c r="I179" s="14">
        <v>20</v>
      </c>
      <c r="J179" s="14">
        <v>120</v>
      </c>
      <c r="K179" s="14">
        <v>68</v>
      </c>
      <c r="L179" s="14">
        <v>8</v>
      </c>
      <c r="M179" s="14">
        <v>180</v>
      </c>
      <c r="N179" s="14">
        <v>97</v>
      </c>
    </row>
    <row r="180" spans="1:14" ht="18" x14ac:dyDescent="0.35">
      <c r="A180" s="9">
        <v>719</v>
      </c>
      <c r="B180" s="2">
        <v>44593</v>
      </c>
      <c r="C180" s="12" t="s">
        <v>64</v>
      </c>
      <c r="D180" s="12" t="s">
        <v>65</v>
      </c>
      <c r="E180" s="12" t="s">
        <v>66</v>
      </c>
      <c r="F180" s="12" t="s">
        <v>67</v>
      </c>
      <c r="G180" s="12" t="s">
        <v>68</v>
      </c>
      <c r="H180" s="12" t="s">
        <v>69</v>
      </c>
      <c r="I180" s="14">
        <v>110</v>
      </c>
      <c r="J180" s="14">
        <v>240</v>
      </c>
      <c r="K180" s="14">
        <v>26</v>
      </c>
      <c r="L180" s="14">
        <v>99</v>
      </c>
      <c r="M180" s="14">
        <v>232</v>
      </c>
      <c r="N180" s="14">
        <v>38</v>
      </c>
    </row>
    <row r="181" spans="1:14" ht="18" x14ac:dyDescent="0.35">
      <c r="A181" s="9">
        <v>847</v>
      </c>
      <c r="B181" s="2">
        <v>44593</v>
      </c>
      <c r="C181" s="12" t="s">
        <v>64</v>
      </c>
      <c r="D181" s="12" t="s">
        <v>65</v>
      </c>
      <c r="E181" s="12" t="s">
        <v>66</v>
      </c>
      <c r="F181" s="12" t="s">
        <v>6</v>
      </c>
      <c r="G181" s="12" t="s">
        <v>68</v>
      </c>
      <c r="H181" s="12" t="s">
        <v>69</v>
      </c>
      <c r="I181" s="14">
        <v>100</v>
      </c>
      <c r="J181" s="14">
        <v>260</v>
      </c>
      <c r="K181" s="14">
        <v>33</v>
      </c>
      <c r="L181" s="14">
        <v>95</v>
      </c>
      <c r="M181" s="14">
        <v>254</v>
      </c>
      <c r="N181" s="14">
        <v>55</v>
      </c>
    </row>
    <row r="182" spans="1:14" ht="18" x14ac:dyDescent="0.35">
      <c r="A182" s="9">
        <v>614</v>
      </c>
      <c r="B182" s="2">
        <v>44593</v>
      </c>
      <c r="C182" s="12" t="s">
        <v>64</v>
      </c>
      <c r="D182" s="12" t="s">
        <v>65</v>
      </c>
      <c r="E182" s="12" t="s">
        <v>66</v>
      </c>
      <c r="F182" s="12" t="s">
        <v>70</v>
      </c>
      <c r="G182" s="12" t="s">
        <v>68</v>
      </c>
      <c r="H182" s="12" t="s">
        <v>69</v>
      </c>
      <c r="I182" s="14">
        <v>20</v>
      </c>
      <c r="J182" s="14">
        <v>130</v>
      </c>
      <c r="K182" s="14">
        <v>49</v>
      </c>
      <c r="L182" s="14">
        <v>-3</v>
      </c>
      <c r="M182" s="14">
        <v>129</v>
      </c>
      <c r="N182" s="14">
        <v>78</v>
      </c>
    </row>
    <row r="183" spans="1:14" ht="18" x14ac:dyDescent="0.35">
      <c r="A183" s="9">
        <v>305</v>
      </c>
      <c r="B183" s="2">
        <v>44593</v>
      </c>
      <c r="C183" s="12" t="s">
        <v>64</v>
      </c>
      <c r="D183" s="12" t="s">
        <v>65</v>
      </c>
      <c r="E183" s="12" t="s">
        <v>66</v>
      </c>
      <c r="F183" s="12" t="s">
        <v>71</v>
      </c>
      <c r="G183" s="12" t="s">
        <v>72</v>
      </c>
      <c r="H183" s="12" t="s">
        <v>69</v>
      </c>
      <c r="I183" s="14">
        <v>70</v>
      </c>
      <c r="J183" s="14">
        <v>190</v>
      </c>
      <c r="K183" s="14">
        <v>26</v>
      </c>
      <c r="L183" s="14">
        <v>71</v>
      </c>
      <c r="M183" s="14">
        <v>206</v>
      </c>
      <c r="N183" s="14">
        <v>49</v>
      </c>
    </row>
    <row r="184" spans="1:14" ht="18" x14ac:dyDescent="0.35">
      <c r="A184" s="9">
        <v>432</v>
      </c>
      <c r="B184" s="2">
        <v>44593</v>
      </c>
      <c r="C184" s="12" t="s">
        <v>64</v>
      </c>
      <c r="D184" s="12" t="s">
        <v>65</v>
      </c>
      <c r="E184" s="12" t="s">
        <v>66</v>
      </c>
      <c r="F184" s="12" t="s">
        <v>73</v>
      </c>
      <c r="G184" s="12" t="s">
        <v>74</v>
      </c>
      <c r="H184" s="12" t="s">
        <v>69</v>
      </c>
      <c r="I184" s="14">
        <v>100</v>
      </c>
      <c r="J184" s="14">
        <v>230</v>
      </c>
      <c r="K184" s="14">
        <v>27</v>
      </c>
      <c r="L184" s="14">
        <v>68</v>
      </c>
      <c r="M184" s="14">
        <v>190</v>
      </c>
      <c r="N184" s="14">
        <v>39</v>
      </c>
    </row>
    <row r="185" spans="1:14" ht="18" x14ac:dyDescent="0.35">
      <c r="A185" s="9">
        <v>818</v>
      </c>
      <c r="B185" s="2">
        <v>44593</v>
      </c>
      <c r="C185" s="12" t="s">
        <v>64</v>
      </c>
      <c r="D185" s="12" t="s">
        <v>65</v>
      </c>
      <c r="E185" s="12" t="s">
        <v>66</v>
      </c>
      <c r="F185" s="12" t="s">
        <v>75</v>
      </c>
      <c r="G185" s="12" t="s">
        <v>76</v>
      </c>
      <c r="H185" s="12" t="s">
        <v>69</v>
      </c>
      <c r="I185" s="14">
        <v>-110</v>
      </c>
      <c r="J185" s="14">
        <v>150</v>
      </c>
      <c r="K185" s="14">
        <v>48</v>
      </c>
      <c r="L185" s="14">
        <v>-117</v>
      </c>
      <c r="M185" s="14">
        <v>122</v>
      </c>
      <c r="N185" s="14">
        <v>91</v>
      </c>
    </row>
    <row r="186" spans="1:14" ht="18" x14ac:dyDescent="0.35">
      <c r="A186" s="9">
        <v>303</v>
      </c>
      <c r="B186" s="2">
        <v>44593</v>
      </c>
      <c r="C186" s="12" t="s">
        <v>77</v>
      </c>
      <c r="D186" s="12" t="s">
        <v>65</v>
      </c>
      <c r="E186" s="12" t="s">
        <v>78</v>
      </c>
      <c r="F186" s="12" t="s">
        <v>67</v>
      </c>
      <c r="G186" s="12" t="s">
        <v>68</v>
      </c>
      <c r="H186" s="12" t="s">
        <v>69</v>
      </c>
      <c r="I186" s="14">
        <v>90</v>
      </c>
      <c r="J186" s="14">
        <v>220</v>
      </c>
      <c r="K186" s="14">
        <v>24</v>
      </c>
      <c r="L186" s="14">
        <v>59</v>
      </c>
      <c r="M186" s="14">
        <v>189</v>
      </c>
      <c r="N186" s="14">
        <v>55</v>
      </c>
    </row>
    <row r="187" spans="1:14" ht="18" x14ac:dyDescent="0.35">
      <c r="A187" s="9">
        <v>312</v>
      </c>
      <c r="B187" s="2">
        <v>44593</v>
      </c>
      <c r="C187" s="12" t="s">
        <v>77</v>
      </c>
      <c r="D187" s="12" t="s">
        <v>65</v>
      </c>
      <c r="E187" s="12" t="s">
        <v>78</v>
      </c>
      <c r="F187" s="12" t="s">
        <v>6</v>
      </c>
      <c r="G187" s="12" t="s">
        <v>68</v>
      </c>
      <c r="H187" s="12" t="s">
        <v>69</v>
      </c>
      <c r="I187" s="14">
        <v>180</v>
      </c>
      <c r="J187" s="14">
        <v>530</v>
      </c>
      <c r="K187" s="14">
        <v>63</v>
      </c>
      <c r="L187" s="14">
        <v>142</v>
      </c>
      <c r="M187" s="14">
        <v>457</v>
      </c>
      <c r="N187" s="14">
        <v>87</v>
      </c>
    </row>
    <row r="188" spans="1:14" ht="18" x14ac:dyDescent="0.35">
      <c r="A188" s="9">
        <v>614</v>
      </c>
      <c r="B188" s="2">
        <v>44593</v>
      </c>
      <c r="C188" s="12" t="s">
        <v>77</v>
      </c>
      <c r="D188" s="12" t="s">
        <v>65</v>
      </c>
      <c r="E188" s="12" t="s">
        <v>78</v>
      </c>
      <c r="F188" s="12" t="s">
        <v>70</v>
      </c>
      <c r="G188" s="12" t="s">
        <v>68</v>
      </c>
      <c r="H188" s="12" t="s">
        <v>69</v>
      </c>
      <c r="I188" s="14">
        <v>40</v>
      </c>
      <c r="J188" s="14">
        <v>150</v>
      </c>
      <c r="K188" s="14">
        <v>22</v>
      </c>
      <c r="L188" s="14">
        <v>18</v>
      </c>
      <c r="M188" s="14">
        <v>132</v>
      </c>
      <c r="N188" s="14">
        <v>55</v>
      </c>
    </row>
    <row r="189" spans="1:14" ht="18" x14ac:dyDescent="0.35">
      <c r="A189" s="9">
        <v>407</v>
      </c>
      <c r="B189" s="2">
        <v>44593</v>
      </c>
      <c r="C189" s="12" t="s">
        <v>77</v>
      </c>
      <c r="D189" s="12" t="s">
        <v>65</v>
      </c>
      <c r="E189" s="12" t="s">
        <v>78</v>
      </c>
      <c r="F189" s="12" t="s">
        <v>71</v>
      </c>
      <c r="G189" s="12" t="s">
        <v>72</v>
      </c>
      <c r="H189" s="12" t="s">
        <v>69</v>
      </c>
      <c r="I189" s="14">
        <v>60</v>
      </c>
      <c r="J189" s="14">
        <v>170</v>
      </c>
      <c r="K189" s="14">
        <v>25</v>
      </c>
      <c r="L189" s="14">
        <v>51</v>
      </c>
      <c r="M189" s="14">
        <v>180</v>
      </c>
      <c r="N189" s="14">
        <v>52</v>
      </c>
    </row>
    <row r="190" spans="1:14" ht="18" x14ac:dyDescent="0.35">
      <c r="A190" s="9">
        <v>956</v>
      </c>
      <c r="B190" s="2">
        <v>44593</v>
      </c>
      <c r="C190" s="12" t="s">
        <v>77</v>
      </c>
      <c r="D190" s="12" t="s">
        <v>65</v>
      </c>
      <c r="E190" s="12" t="s">
        <v>78</v>
      </c>
      <c r="F190" s="12" t="s">
        <v>73</v>
      </c>
      <c r="G190" s="12" t="s">
        <v>74</v>
      </c>
      <c r="H190" s="12" t="s">
        <v>69</v>
      </c>
      <c r="I190" s="14">
        <v>90</v>
      </c>
      <c r="J190" s="14">
        <v>160</v>
      </c>
      <c r="K190" s="14">
        <v>21</v>
      </c>
      <c r="L190" s="14">
        <v>80</v>
      </c>
      <c r="M190" s="14">
        <v>189</v>
      </c>
      <c r="N190" s="14">
        <v>32</v>
      </c>
    </row>
    <row r="191" spans="1:14" ht="18" x14ac:dyDescent="0.35">
      <c r="A191" s="9">
        <v>951</v>
      </c>
      <c r="B191" s="2">
        <v>44593</v>
      </c>
      <c r="C191" s="12" t="s">
        <v>77</v>
      </c>
      <c r="D191" s="12" t="s">
        <v>65</v>
      </c>
      <c r="E191" s="12" t="s">
        <v>78</v>
      </c>
      <c r="F191" s="12" t="s">
        <v>75</v>
      </c>
      <c r="G191" s="12" t="s">
        <v>76</v>
      </c>
      <c r="H191" s="12" t="s">
        <v>69</v>
      </c>
      <c r="I191" s="14">
        <v>200</v>
      </c>
      <c r="J191" s="14">
        <v>520</v>
      </c>
      <c r="K191" s="14">
        <v>77</v>
      </c>
      <c r="L191" s="14">
        <v>202</v>
      </c>
      <c r="M191" s="14">
        <v>545</v>
      </c>
      <c r="N191" s="14">
        <v>109</v>
      </c>
    </row>
    <row r="192" spans="1:14" ht="18" x14ac:dyDescent="0.35">
      <c r="A192" s="9">
        <v>303</v>
      </c>
      <c r="B192" s="2">
        <v>44593</v>
      </c>
      <c r="C192" s="12" t="s">
        <v>79</v>
      </c>
      <c r="D192" s="12" t="s">
        <v>65</v>
      </c>
      <c r="E192" s="12" t="s">
        <v>66</v>
      </c>
      <c r="F192" s="12" t="s">
        <v>67</v>
      </c>
      <c r="G192" s="12" t="s">
        <v>68</v>
      </c>
      <c r="H192" s="12" t="s">
        <v>80</v>
      </c>
      <c r="I192" s="14">
        <v>120</v>
      </c>
      <c r="J192" s="14">
        <v>250</v>
      </c>
      <c r="K192" s="14">
        <v>27</v>
      </c>
      <c r="L192" s="14">
        <v>105</v>
      </c>
      <c r="M192" s="14">
        <v>243</v>
      </c>
      <c r="N192" s="14">
        <v>39</v>
      </c>
    </row>
    <row r="193" spans="1:14" ht="18" x14ac:dyDescent="0.35">
      <c r="A193" s="9">
        <v>937</v>
      </c>
      <c r="B193" s="2">
        <v>44593</v>
      </c>
      <c r="C193" s="12" t="s">
        <v>79</v>
      </c>
      <c r="D193" s="12" t="s">
        <v>65</v>
      </c>
      <c r="E193" s="12" t="s">
        <v>66</v>
      </c>
      <c r="F193" s="12" t="s">
        <v>70</v>
      </c>
      <c r="G193" s="12" t="s">
        <v>68</v>
      </c>
      <c r="H193" s="12" t="s">
        <v>80</v>
      </c>
      <c r="I193" s="14">
        <v>50</v>
      </c>
      <c r="J193" s="14">
        <v>140</v>
      </c>
      <c r="K193" s="14">
        <v>19</v>
      </c>
      <c r="L193" s="14">
        <v>33</v>
      </c>
      <c r="M193" s="14">
        <v>140</v>
      </c>
      <c r="N193" s="14">
        <v>47</v>
      </c>
    </row>
    <row r="194" spans="1:14" ht="18" x14ac:dyDescent="0.35">
      <c r="A194" s="9">
        <v>720</v>
      </c>
      <c r="B194" s="2">
        <v>44593</v>
      </c>
      <c r="C194" s="12" t="s">
        <v>81</v>
      </c>
      <c r="D194" s="12" t="s">
        <v>65</v>
      </c>
      <c r="E194" s="12" t="s">
        <v>66</v>
      </c>
      <c r="F194" s="12" t="s">
        <v>67</v>
      </c>
      <c r="G194" s="12" t="s">
        <v>68</v>
      </c>
      <c r="H194" s="12" t="s">
        <v>80</v>
      </c>
      <c r="I194" s="14">
        <v>80</v>
      </c>
      <c r="J194" s="14">
        <v>190</v>
      </c>
      <c r="K194" s="14">
        <v>27</v>
      </c>
      <c r="L194" s="14">
        <v>68</v>
      </c>
      <c r="M194" s="14">
        <v>190</v>
      </c>
      <c r="N194" s="14">
        <v>39</v>
      </c>
    </row>
    <row r="195" spans="1:14" ht="18" x14ac:dyDescent="0.35">
      <c r="A195" s="9">
        <v>312</v>
      </c>
      <c r="B195" s="2">
        <v>44593</v>
      </c>
      <c r="C195" s="12" t="s">
        <v>81</v>
      </c>
      <c r="D195" s="12" t="s">
        <v>65</v>
      </c>
      <c r="E195" s="12" t="s">
        <v>66</v>
      </c>
      <c r="F195" s="12" t="s">
        <v>6</v>
      </c>
      <c r="G195" s="12" t="s">
        <v>68</v>
      </c>
      <c r="H195" s="12" t="s">
        <v>80</v>
      </c>
      <c r="I195" s="14">
        <v>140</v>
      </c>
      <c r="J195" s="14">
        <v>370</v>
      </c>
      <c r="K195" s="14">
        <v>48</v>
      </c>
      <c r="L195" s="14">
        <v>115</v>
      </c>
      <c r="M195" s="14">
        <v>354</v>
      </c>
      <c r="N195" s="14">
        <v>91</v>
      </c>
    </row>
    <row r="196" spans="1:14" ht="18" x14ac:dyDescent="0.35">
      <c r="A196" s="9">
        <v>513</v>
      </c>
      <c r="B196" s="2">
        <v>44593</v>
      </c>
      <c r="C196" s="12" t="s">
        <v>81</v>
      </c>
      <c r="D196" s="12" t="s">
        <v>65</v>
      </c>
      <c r="E196" s="12" t="s">
        <v>66</v>
      </c>
      <c r="F196" s="12" t="s">
        <v>70</v>
      </c>
      <c r="G196" s="12" t="s">
        <v>68</v>
      </c>
      <c r="H196" s="12" t="s">
        <v>80</v>
      </c>
      <c r="I196" s="14">
        <v>50</v>
      </c>
      <c r="J196" s="14">
        <v>130</v>
      </c>
      <c r="K196" s="14">
        <v>16</v>
      </c>
      <c r="L196" s="14">
        <v>38</v>
      </c>
      <c r="M196" s="14">
        <v>128</v>
      </c>
      <c r="N196" s="14">
        <v>38</v>
      </c>
    </row>
    <row r="197" spans="1:14" ht="18" x14ac:dyDescent="0.35">
      <c r="A197" s="9">
        <v>754</v>
      </c>
      <c r="B197" s="2">
        <v>44593</v>
      </c>
      <c r="C197" s="12" t="s">
        <v>81</v>
      </c>
      <c r="D197" s="12" t="s">
        <v>65</v>
      </c>
      <c r="E197" s="12" t="s">
        <v>66</v>
      </c>
      <c r="F197" s="12" t="s">
        <v>71</v>
      </c>
      <c r="G197" s="12" t="s">
        <v>72</v>
      </c>
      <c r="H197" s="12" t="s">
        <v>80</v>
      </c>
      <c r="I197" s="14">
        <v>80</v>
      </c>
      <c r="J197" s="14">
        <v>190</v>
      </c>
      <c r="K197" s="14">
        <v>26</v>
      </c>
      <c r="L197" s="14">
        <v>63</v>
      </c>
      <c r="M197" s="14">
        <v>200</v>
      </c>
      <c r="N197" s="14">
        <v>57</v>
      </c>
    </row>
    <row r="198" spans="1:14" ht="18" x14ac:dyDescent="0.35">
      <c r="A198" s="9">
        <v>774</v>
      </c>
      <c r="B198" s="2">
        <v>44593</v>
      </c>
      <c r="C198" s="12" t="s">
        <v>81</v>
      </c>
      <c r="D198" s="12" t="s">
        <v>65</v>
      </c>
      <c r="E198" s="12" t="s">
        <v>66</v>
      </c>
      <c r="F198" s="12" t="s">
        <v>82</v>
      </c>
      <c r="G198" s="12" t="s">
        <v>72</v>
      </c>
      <c r="H198" s="12" t="s">
        <v>80</v>
      </c>
      <c r="I198" s="14">
        <v>330</v>
      </c>
      <c r="J198" s="14">
        <v>440</v>
      </c>
      <c r="K198" s="14">
        <v>24</v>
      </c>
      <c r="L198" s="14">
        <v>340</v>
      </c>
      <c r="M198" s="14">
        <v>470</v>
      </c>
      <c r="N198" s="14">
        <v>55</v>
      </c>
    </row>
    <row r="199" spans="1:14" ht="18" x14ac:dyDescent="0.35">
      <c r="A199" s="9">
        <v>917</v>
      </c>
      <c r="B199" s="2">
        <v>44593</v>
      </c>
      <c r="C199" s="12" t="s">
        <v>81</v>
      </c>
      <c r="D199" s="12" t="s">
        <v>65</v>
      </c>
      <c r="E199" s="12" t="s">
        <v>66</v>
      </c>
      <c r="F199" s="12" t="s">
        <v>27</v>
      </c>
      <c r="G199" s="12" t="s">
        <v>72</v>
      </c>
      <c r="H199" s="12" t="s">
        <v>80</v>
      </c>
      <c r="I199" s="14">
        <v>250</v>
      </c>
      <c r="J199" s="14">
        <v>610</v>
      </c>
      <c r="K199" s="14">
        <v>90</v>
      </c>
      <c r="L199" s="14">
        <v>245</v>
      </c>
      <c r="M199" s="14">
        <v>645</v>
      </c>
      <c r="N199" s="14">
        <v>142</v>
      </c>
    </row>
    <row r="200" spans="1:14" ht="18" x14ac:dyDescent="0.35">
      <c r="A200" s="9">
        <v>972</v>
      </c>
      <c r="B200" s="2">
        <v>44593</v>
      </c>
      <c r="C200" s="12" t="s">
        <v>81</v>
      </c>
      <c r="D200" s="12" t="s">
        <v>65</v>
      </c>
      <c r="E200" s="12" t="s">
        <v>66</v>
      </c>
      <c r="F200" s="12" t="s">
        <v>73</v>
      </c>
      <c r="G200" s="12" t="s">
        <v>74</v>
      </c>
      <c r="H200" s="12" t="s">
        <v>80</v>
      </c>
      <c r="I200" s="14">
        <v>240</v>
      </c>
      <c r="J200" s="14">
        <v>580</v>
      </c>
      <c r="K200" s="14">
        <v>66</v>
      </c>
      <c r="L200" s="14">
        <v>164</v>
      </c>
      <c r="M200" s="14">
        <v>465</v>
      </c>
      <c r="N200" s="14">
        <v>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Charts</vt:lpstr>
      </vt:variant>
      <vt:variant>
        <vt:i4>1</vt:i4>
      </vt:variant>
    </vt:vector>
  </HeadingPairs>
  <TitlesOfParts>
    <vt:vector size="15" baseType="lpstr">
      <vt:lpstr>Sheet1</vt:lpstr>
      <vt:lpstr>pivot_feature</vt:lpstr>
      <vt:lpstr>Sheet6</vt:lpstr>
      <vt:lpstr>pivot_1</vt:lpstr>
      <vt:lpstr>pivot_2</vt:lpstr>
      <vt:lpstr>Sheet4</vt:lpstr>
      <vt:lpstr>calculative_Data</vt:lpstr>
      <vt:lpstr>showdata_as</vt:lpstr>
      <vt:lpstr>showdata_as1</vt:lpstr>
      <vt:lpstr>data_as_option</vt:lpstr>
      <vt:lpstr>filter</vt:lpstr>
      <vt:lpstr>report_connection</vt:lpstr>
      <vt:lpstr>chart_data</vt:lpstr>
      <vt:lpstr>pivot_table</vt:lpstr>
      <vt:lpstr>Sales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TR</dc:creator>
  <cp:lastModifiedBy>Karthick TR</cp:lastModifiedBy>
  <dcterms:created xsi:type="dcterms:W3CDTF">2025-12-31T14:58:41Z</dcterms:created>
  <dcterms:modified xsi:type="dcterms:W3CDTF">2026-01-20T15:20:07Z</dcterms:modified>
</cp:coreProperties>
</file>